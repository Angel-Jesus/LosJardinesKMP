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panduro/Documents/Projects/LosJardinesKMP/feature/ui/src/androidMain/assets/"/>
    </mc:Choice>
  </mc:AlternateContent>
  <xr:revisionPtr revIDLastSave="0" documentId="13_ncr:1_{AFB2150E-6670-0B4F-B1EB-0D60545D34DB}" xr6:coauthVersionLast="47" xr6:coauthVersionMax="47" xr10:uidLastSave="{00000000-0000-0000-0000-000000000000}"/>
  <bookViews>
    <workbookView xWindow="0" yWindow="660" windowWidth="30240" windowHeight="17180" xr2:uid="{DBCE0E2E-2AEC-BE47-A25B-21C087ED2F3E}"/>
  </bookViews>
  <sheets>
    <sheet name="REPORTE MENSUAL" sheetId="2" r:id="rId1"/>
  </sheets>
  <definedNames>
    <definedName name="_xlnm.Print_Area" localSheetId="0">'REPORTE MENSUAL'!$A$1:$U$106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4" i="2" l="1"/>
  <c r="F34" i="2"/>
  <c r="D34" i="2"/>
  <c r="N34" i="2"/>
  <c r="L34" i="2"/>
  <c r="J34" i="2"/>
  <c r="N79" i="2"/>
  <c r="P79" i="2"/>
  <c r="E96" i="2"/>
  <c r="E97" i="2"/>
  <c r="E98" i="2"/>
  <c r="E99" i="2"/>
  <c r="G102" i="2"/>
  <c r="K102" i="2"/>
  <c r="O102" i="2"/>
  <c r="Q102" i="2"/>
  <c r="S102" i="2"/>
  <c r="U34" i="2" l="1"/>
  <c r="E102" i="2"/>
  <c r="U32" i="2"/>
  <c r="U33" i="2" l="1"/>
</calcChain>
</file>

<file path=xl/sharedStrings.xml><?xml version="1.0" encoding="utf-8"?>
<sst xmlns="http://schemas.openxmlformats.org/spreadsheetml/2006/main" count="215" uniqueCount="202">
  <si>
    <t>Número de Arribos de Nacionales y Residentes durante el mes de estudio.</t>
  </si>
  <si>
    <t>Número de Arribos de Extranjeros y No Residentes durante el mes de estudio.</t>
  </si>
  <si>
    <t>Número de Pernoctaciones durante el mes de estudio.</t>
  </si>
  <si>
    <t>Número de Habitacioens Ocupadas durante el mes de estudio.</t>
  </si>
  <si>
    <t>Número de Arribos de personas durante el mes de estudio.</t>
  </si>
  <si>
    <t>Nota:</t>
  </si>
  <si>
    <t>CAPITULO V: De contar con la informacion solicitada, se debe llenar correctamente.</t>
  </si>
  <si>
    <t>CAPITULO IV: No incluir ningun otro paÍs que no este considerado en la relación.</t>
  </si>
  <si>
    <t>CAPITULO II: Los ARRIBOS pueden ser iguales a las PERNOCTACIONES, pero los ARRIBOS nunca deberan ser mayores a las PERNOCTACIONES.</t>
  </si>
  <si>
    <t>CAPITULO II: Los ARRIBOS de los huéspedes que permanecieron como mínimo horas o un día, se les debe considerar la PERNOCTACION correspondiente.</t>
  </si>
  <si>
    <t>Observaciones a considerar:</t>
  </si>
  <si>
    <t>OBSERVACIONES SOBRE LOS DATOS DECLARADOS</t>
  </si>
  <si>
    <t>TOTAL</t>
  </si>
  <si>
    <t>TRABAJADORES NO REMUNERADOS</t>
  </si>
  <si>
    <t>PROPIETARIOS Y SOCIOS (ACTIVOS)</t>
  </si>
  <si>
    <t>EVENTUALES</t>
  </si>
  <si>
    <t>PERMANENTES</t>
  </si>
  <si>
    <t>MUJERES</t>
  </si>
  <si>
    <t>HOMBRES</t>
  </si>
  <si>
    <t>Demás puestos</t>
  </si>
  <si>
    <t>Bar</t>
  </si>
  <si>
    <t>Comedor y Cafetería</t>
  </si>
  <si>
    <t>Limpieza</t>
  </si>
  <si>
    <t>Conserjería</t>
  </si>
  <si>
    <t>Recepción</t>
  </si>
  <si>
    <t>Ejecutivos y Administrativos</t>
  </si>
  <si>
    <t>TOTAL PUESTOS DE TRABAJO</t>
  </si>
  <si>
    <t>OCUPACIONAL</t>
  </si>
  <si>
    <t xml:space="preserve">CATEGORIA </t>
  </si>
  <si>
    <r>
      <t xml:space="preserve">NÚMERO DE </t>
    </r>
    <r>
      <rPr>
        <b/>
        <i/>
        <sz val="12"/>
        <rFont val="Arial Black"/>
        <family val="2"/>
      </rPr>
      <t>PUESTOS DE TRABAJO</t>
    </r>
    <r>
      <rPr>
        <b/>
        <sz val="12"/>
        <rFont val="Arial Black"/>
        <family val="2"/>
      </rPr>
      <t xml:space="preserve"> OCUPADOS EN EL MES</t>
    </r>
  </si>
  <si>
    <t>CAPITULO VI :</t>
  </si>
  <si>
    <t>(1/) (Viajes de inversionistas, empresarios, asistencia a reuniones) Incluye asistencia a conferencia o congresos, ferias y exposiciones comerciales, participar en espectaculos y obras de teatro, conciertos, actividades deportivas profesionales, comprar o vender bienes o servicios en nombre de productores no residentes (en el país o lugar visitados), asistir a curso de formacion en el trabajo formales o informales, etc.</t>
  </si>
  <si>
    <t>Peruanos y Residentes</t>
  </si>
  <si>
    <t>Extranjeros y No Residentes</t>
  </si>
  <si>
    <t>OTROS MOTIVOS</t>
  </si>
  <si>
    <t>TRABAJO (REMUNERADO EN LUGAR DE ALOJAMIENTO)</t>
  </si>
  <si>
    <t>NEGOCIOS Y MOTIVOS PROFESIONALES (1/)</t>
  </si>
  <si>
    <t>COMPRAS (EXCEPTO PARA REVENTA)</t>
  </si>
  <si>
    <t>RELIGION/PEREGRINACIONES</t>
  </si>
  <si>
    <t>SALUD Y ATENCION MEDICA</t>
  </si>
  <si>
    <t>EDUCACION Y FORMACION</t>
  </si>
  <si>
    <t>VISITAS A FAMILIARES Y AMIGOS</t>
  </si>
  <si>
    <t>VACACIONES,RECREO/OCIO,ASISTENCIA A EVENTOS</t>
  </si>
  <si>
    <t>TOTAL DE ARRIBOS</t>
  </si>
  <si>
    <t>DETALLE</t>
  </si>
  <si>
    <t>MOTIVO PRINCIPAL DEL VIAJE DE LOS HUÉSPEDES</t>
  </si>
  <si>
    <t>CAPITULO V :</t>
  </si>
  <si>
    <t>Total de Extranjeros y No Residentes</t>
  </si>
  <si>
    <t>Otro país de Europa</t>
  </si>
  <si>
    <t>Otro país de Asia</t>
  </si>
  <si>
    <t xml:space="preserve">TOTAL </t>
  </si>
  <si>
    <t>Otro país de América</t>
  </si>
  <si>
    <t>Oceanía(Australia &amp;…)</t>
  </si>
  <si>
    <t>África(Ghana/Marruecos/Sudáfrica &amp;…)</t>
  </si>
  <si>
    <t>Total de Peruanos y Residentes</t>
  </si>
  <si>
    <t>Venezuela</t>
  </si>
  <si>
    <t>Ucayali</t>
  </si>
  <si>
    <t>Uruguay</t>
  </si>
  <si>
    <t>Tumbes</t>
  </si>
  <si>
    <t>Turquía</t>
  </si>
  <si>
    <t>Tacna</t>
  </si>
  <si>
    <t>Suiza</t>
  </si>
  <si>
    <t>San Martín</t>
  </si>
  <si>
    <t>Rusia</t>
  </si>
  <si>
    <t>Puno</t>
  </si>
  <si>
    <t>Reino Unido(Inglaterra &amp;…)</t>
  </si>
  <si>
    <t>Piura</t>
  </si>
  <si>
    <t>Panamá</t>
  </si>
  <si>
    <t>Pasco</t>
  </si>
  <si>
    <t>México</t>
  </si>
  <si>
    <t>Moquegua</t>
  </si>
  <si>
    <t>Japón</t>
  </si>
  <si>
    <t>Madre de Dios</t>
  </si>
  <si>
    <t>Italia</t>
  </si>
  <si>
    <t>Loreto</t>
  </si>
  <si>
    <t>Israel</t>
  </si>
  <si>
    <t>Lambayeque</t>
  </si>
  <si>
    <t>India</t>
  </si>
  <si>
    <t>La Libertad</t>
  </si>
  <si>
    <t>Holanda(Paises Bajos)</t>
  </si>
  <si>
    <t>Junín</t>
  </si>
  <si>
    <t>Francia</t>
  </si>
  <si>
    <t>Ica</t>
  </si>
  <si>
    <t>España</t>
  </si>
  <si>
    <t>Huánuco</t>
  </si>
  <si>
    <t>Estados Unidos-USA</t>
  </si>
  <si>
    <t>Huancavelica</t>
  </si>
  <si>
    <t>Ecuador</t>
  </si>
  <si>
    <t>Cusco</t>
  </si>
  <si>
    <t>China(Rep. Popular)</t>
  </si>
  <si>
    <t>Cajamarca</t>
  </si>
  <si>
    <t>Chile</t>
  </si>
  <si>
    <t>Ayacucho</t>
  </si>
  <si>
    <t>Costa Rica</t>
  </si>
  <si>
    <t>Arequipa</t>
  </si>
  <si>
    <t>Corea del Sur</t>
  </si>
  <si>
    <t>Apurimac</t>
  </si>
  <si>
    <t>Colombia</t>
  </si>
  <si>
    <t>Áncash</t>
  </si>
  <si>
    <t>Canadá</t>
  </si>
  <si>
    <t>Amazonas</t>
  </si>
  <si>
    <t>Brasil</t>
  </si>
  <si>
    <t>Bolivia</t>
  </si>
  <si>
    <r>
      <rPr>
        <b/>
        <sz val="11"/>
        <rFont val="Arial Narrow"/>
        <family val="2"/>
      </rPr>
      <t>Región Lima</t>
    </r>
    <r>
      <rPr>
        <b/>
        <sz val="8"/>
        <rFont val="Arial Narrow"/>
        <family val="2"/>
      </rPr>
      <t>:</t>
    </r>
    <r>
      <rPr>
        <sz val="8"/>
        <rFont val="Arial Narrow"/>
        <family val="2"/>
      </rPr>
      <t xml:space="preserve"> </t>
    </r>
    <r>
      <rPr>
        <sz val="7"/>
        <rFont val="Arial Narrow"/>
        <family val="2"/>
      </rPr>
      <t>Barranca, Cajatambo, Canta, Cañete, Huaral, Huarochirí, Huaura, Oyón y Yauyos</t>
    </r>
  </si>
  <si>
    <t>Bielorrusia</t>
  </si>
  <si>
    <t>Alemania</t>
  </si>
  <si>
    <t>Lima Metropolitana y Callao</t>
  </si>
  <si>
    <t>Argentina</t>
  </si>
  <si>
    <t>Nº PERNOCTACIONES</t>
  </si>
  <si>
    <t>Nº ARRIBOS</t>
  </si>
  <si>
    <t>REGIONES</t>
  </si>
  <si>
    <t>PERUANOS Y "RESIDENTES EN EL PERU"</t>
  </si>
  <si>
    <t>PAÍS O CONTINENTE</t>
  </si>
  <si>
    <t>EXTRANJEROS Y "NO RESIDENTES EN EL PERU"</t>
  </si>
  <si>
    <t>ARRIBOS Y PERNOCTACIONES SEGÚN LUGAR DE RESIDENCIA DEL HUÉSPED</t>
  </si>
  <si>
    <t>CAPITULO IV :</t>
  </si>
  <si>
    <t>DIA 31</t>
  </si>
  <si>
    <t>DIA 30</t>
  </si>
  <si>
    <t>DIA 29</t>
  </si>
  <si>
    <t>DIA 28</t>
  </si>
  <si>
    <t>DIA 27</t>
  </si>
  <si>
    <t>DIA 26</t>
  </si>
  <si>
    <t>DIA 25</t>
  </si>
  <si>
    <t>DIA 24</t>
  </si>
  <si>
    <t>DIA 23</t>
  </si>
  <si>
    <t>DIA 22</t>
  </si>
  <si>
    <t>DIA 21</t>
  </si>
  <si>
    <t>DIA 20</t>
  </si>
  <si>
    <t>DIA 19</t>
  </si>
  <si>
    <t>DIA 18</t>
  </si>
  <si>
    <t>DIA 17</t>
  </si>
  <si>
    <t>DIA 16</t>
  </si>
  <si>
    <t>DIA 15</t>
  </si>
  <si>
    <t>DIA 14</t>
  </si>
  <si>
    <t>DIA 13</t>
  </si>
  <si>
    <t>DIA 12</t>
  </si>
  <si>
    <t>DIA 11</t>
  </si>
  <si>
    <t>DIA 10</t>
  </si>
  <si>
    <t>DIA 9</t>
  </si>
  <si>
    <t>DIA 8</t>
  </si>
  <si>
    <t>DIA 7</t>
  </si>
  <si>
    <t>DIA 6</t>
  </si>
  <si>
    <t>DIA 5</t>
  </si>
  <si>
    <t>DIA 4</t>
  </si>
  <si>
    <t>DIA 3</t>
  </si>
  <si>
    <t>DIA 2</t>
  </si>
  <si>
    <t>DIA 1</t>
  </si>
  <si>
    <t>(Se anota, el número total de PERSONAS que llegaron o arribaron en el día y se anotaron en el libro o fichas de registro) (No se anota ni boletas de pago ni pareja de personas)</t>
  </si>
  <si>
    <t xml:space="preserve">NÚMERO DE ARRIBOS DE HUÉSPEDES POR DÍA DEL MES </t>
  </si>
  <si>
    <t>CAPITULO III :</t>
  </si>
  <si>
    <t>PP</t>
  </si>
  <si>
    <t>TNOC</t>
  </si>
  <si>
    <t>Otras habitaciones ………..</t>
  </si>
  <si>
    <t>TNOH</t>
  </si>
  <si>
    <t>Bungalos (casas pequeñas)</t>
  </si>
  <si>
    <t>Triples</t>
  </si>
  <si>
    <t>Suites (Incluye sala)</t>
  </si>
  <si>
    <t>Dobles y Matrimoniales</t>
  </si>
  <si>
    <t>Individuales ó Simples</t>
  </si>
  <si>
    <t>SIN BAÑO</t>
  </si>
  <si>
    <t>CON BAÑO</t>
  </si>
  <si>
    <t>NÚMERO DE PERNOCTACIONES</t>
  </si>
  <si>
    <t>NÚMERO DE HABITACIONES-NOCHE OCUPADAS</t>
  </si>
  <si>
    <t>NÚMERO DE ARRIBOS DE PERSONAS</t>
  </si>
  <si>
    <t>NÚMERO DE "PLAZAS-CAMAS"</t>
  </si>
  <si>
    <t>NÚMERO DE HABITACIONES OFERTADAS</t>
  </si>
  <si>
    <t>TARIFA PROMEDIO POR DIA HOTELERO SEGÚN TIPO  DE HABITACIÓN (PRECIO CON IMPUESTOS) (EN NUEVOS SOLES S/. SIN CENTIMOS)</t>
  </si>
  <si>
    <t>ALOJAMIENTO UTILIZADO</t>
  </si>
  <si>
    <t>CAPACIDAD DE ALOJAMIENTO OFERTADA</t>
  </si>
  <si>
    <t>TIPO DE HABITACIÓN</t>
  </si>
  <si>
    <t>CAPITULO II : CAPACIDAD DE ALOJAMIENTO OFERTADA / UTILIZADA Y TARIFAS DEL MES</t>
  </si>
  <si>
    <t>CADENA HOT. INTERNACIONAL</t>
  </si>
  <si>
    <t>CADENA HOT. NACIONAL</t>
  </si>
  <si>
    <t>PERTENECE O ES OPERADO POR CADENAS HOTELERAS?</t>
  </si>
  <si>
    <t>EDGARPP4@HOTMAIL.COM</t>
  </si>
  <si>
    <t>EMAIL</t>
  </si>
  <si>
    <t>TELEFONO</t>
  </si>
  <si>
    <t>EDGAR PANDURO PEREZ</t>
  </si>
  <si>
    <t>NOMBRES Y APELLIDOS</t>
  </si>
  <si>
    <t>PERSONA DE CONTACTO</t>
  </si>
  <si>
    <t>E-MAIL PARA RESERVAS</t>
  </si>
  <si>
    <t>PAGINA WEB</t>
  </si>
  <si>
    <t>SISTEMA DE COORDENADAS</t>
  </si>
  <si>
    <t>LAMAS</t>
  </si>
  <si>
    <t>DISTRITO</t>
  </si>
  <si>
    <t>PROVINCIA</t>
  </si>
  <si>
    <t>SAN MARTIN</t>
  </si>
  <si>
    <t>DEPARTAMENTO</t>
  </si>
  <si>
    <t>JR. LOS JARDINES 112</t>
  </si>
  <si>
    <t>DIRECCIÓN</t>
  </si>
  <si>
    <t>Nº CERTIFICADO</t>
  </si>
  <si>
    <t>ALOJAMIENTO LOS JARDINES</t>
  </si>
  <si>
    <t>NOMBRE COMERCIAL</t>
  </si>
  <si>
    <t>CATEGORIA</t>
  </si>
  <si>
    <t>CLASE</t>
  </si>
  <si>
    <t>RUC</t>
  </si>
  <si>
    <t>RAZON SOCIAL</t>
  </si>
  <si>
    <t>CAPITULO I :            IDENTIFICACIÓN DEL ESTABLECIMIENTO DE HOSPEDAJE</t>
  </si>
  <si>
    <t>La distribución y recepción de este formulario es gratuita. Los datos solicitados se usarán estrictamente para la elaboración de información estadística que permita evaluar y orientar las actividades relacionadas con el turismo en el territorio nacional.</t>
  </si>
  <si>
    <t>MES DE: OCTUBRE 2024</t>
  </si>
  <si>
    <t>PARA ESTABLECIMIENTOS DE HOSPEDAJE</t>
  </si>
  <si>
    <t>ESTADISTICA MENSUAL DE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</si>
</sst>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"/>
  </numFmts>
  <fonts count="4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name val="Verdana"/>
      <family val="2"/>
    </font>
    <font>
      <b/>
      <sz val="12"/>
      <color theme="0"/>
      <name val="Verdana"/>
      <family val="2"/>
    </font>
    <font>
      <b/>
      <sz val="14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0"/>
      <name val="Arial Narrow"/>
      <family val="2"/>
    </font>
    <font>
      <b/>
      <sz val="12"/>
      <name val="Arial Black"/>
      <family val="2"/>
    </font>
    <font>
      <sz val="12"/>
      <name val="Arial Black"/>
      <family val="2"/>
    </font>
    <font>
      <sz val="12"/>
      <name val="Verdana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b/>
      <i/>
      <sz val="12"/>
      <name val="Arial Black"/>
      <family val="2"/>
    </font>
    <font>
      <b/>
      <sz val="12"/>
      <name val="Arial"/>
      <family val="2"/>
    </font>
    <font>
      <sz val="10"/>
      <name val="Arial"/>
      <family val="2"/>
    </font>
    <font>
      <b/>
      <sz val="7"/>
      <name val="Arial Narrow"/>
      <family val="2"/>
    </font>
    <font>
      <b/>
      <sz val="9"/>
      <name val="Arial Narrow"/>
      <family val="2"/>
    </font>
    <font>
      <b/>
      <sz val="14"/>
      <name val="Arial Black"/>
      <family val="2"/>
    </font>
    <font>
      <b/>
      <sz val="10"/>
      <name val="Arial Black"/>
      <family val="2"/>
    </font>
    <font>
      <b/>
      <sz val="22"/>
      <color theme="1"/>
      <name val="Arial Narrow"/>
      <family val="2"/>
    </font>
    <font>
      <b/>
      <sz val="16"/>
      <name val="Verdana"/>
      <family val="2"/>
    </font>
    <font>
      <b/>
      <sz val="16"/>
      <color theme="0"/>
      <name val="Verdana"/>
      <family val="2"/>
    </font>
    <font>
      <sz val="16"/>
      <name val="Arial Black"/>
      <family val="2"/>
    </font>
    <font>
      <b/>
      <sz val="12"/>
      <color rgb="FF0000FF"/>
      <name val="Arial Narrow"/>
      <family val="2"/>
    </font>
    <font>
      <b/>
      <sz val="1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7"/>
      <name val="Arial Narrow"/>
      <family val="2"/>
    </font>
    <font>
      <sz val="12"/>
      <name val="Arial"/>
      <family val="2"/>
    </font>
    <font>
      <sz val="12"/>
      <name val="Arial Narrow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8"/>
      <name val="Arial Black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3"/>
      <name val="Arial Narrow"/>
      <family val="2"/>
    </font>
    <font>
      <sz val="11"/>
      <color theme="0"/>
      <name val="Aptos Narrow"/>
      <family val="2"/>
      <scheme val="minor"/>
    </font>
    <font>
      <b/>
      <sz val="9"/>
      <name val="Verdana"/>
      <family val="2"/>
    </font>
    <font>
      <b/>
      <sz val="16"/>
      <name val="Arial Narrow"/>
      <family val="2"/>
    </font>
    <font>
      <u/>
      <sz val="11"/>
      <color theme="10"/>
      <name val="Aptos Narrow"/>
      <family val="2"/>
      <scheme val="minor"/>
    </font>
    <font>
      <u/>
      <sz val="10"/>
      <color rgb="FF0000FF"/>
      <name val="Arial"/>
      <family val="2"/>
    </font>
    <font>
      <b/>
      <i/>
      <sz val="12"/>
      <name val="Arial Narrow"/>
      <family val="2"/>
    </font>
    <font>
      <sz val="14"/>
      <name val="Arial Narrow"/>
      <family val="2"/>
    </font>
    <font>
      <b/>
      <sz val="14"/>
      <name val="Arial"/>
      <family val="2"/>
    </font>
    <font>
      <b/>
      <sz val="16"/>
      <name val="Arial Black"/>
      <family val="2"/>
    </font>
    <font>
      <sz val="16"/>
      <color rgb="FF000000"/>
      <name val="Montserrat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2" fillId="0" borderId="0" applyNumberFormat="0" applyFill="0" applyBorder="0" applyAlignment="0" applyProtection="0"/>
  </cellStyleXfs>
  <cellXfs count="353">
    <xf numFmtId="0" fontId="0" fillId="0" borderId="0" xfId="0"/>
    <xf numFmtId="0" fontId="1" fillId="0" borderId="0" xfId="1"/>
    <xf numFmtId="0" fontId="1" fillId="2" borderId="1" xfId="1" applyFill="1" applyBorder="1"/>
    <xf numFmtId="0" fontId="1" fillId="2" borderId="2" xfId="1" applyFill="1" applyBorder="1"/>
    <xf numFmtId="0" fontId="2" fillId="2" borderId="2" xfId="1" applyFont="1" applyFill="1" applyBorder="1" applyAlignment="1">
      <alignment vertical="center"/>
    </xf>
    <xf numFmtId="0" fontId="1" fillId="2" borderId="5" xfId="1" applyFill="1" applyBorder="1"/>
    <xf numFmtId="0" fontId="1" fillId="2" borderId="6" xfId="1" applyFill="1" applyBorder="1"/>
    <xf numFmtId="0" fontId="1" fillId="2" borderId="0" xfId="1" applyFill="1"/>
    <xf numFmtId="0" fontId="2" fillId="2" borderId="0" xfId="1" applyFont="1" applyFill="1" applyAlignment="1">
      <alignment vertical="center"/>
    </xf>
    <xf numFmtId="0" fontId="1" fillId="2" borderId="7" xfId="1" applyFill="1" applyBorder="1"/>
    <xf numFmtId="3" fontId="4" fillId="7" borderId="4" xfId="1" applyNumberFormat="1" applyFont="1" applyFill="1" applyBorder="1" applyAlignment="1">
      <alignment horizontal="center" vertical="center"/>
    </xf>
    <xf numFmtId="0" fontId="1" fillId="2" borderId="8" xfId="1" applyFill="1" applyBorder="1"/>
    <xf numFmtId="0" fontId="1" fillId="2" borderId="9" xfId="1" applyFill="1" applyBorder="1"/>
    <xf numFmtId="0" fontId="5" fillId="2" borderId="10" xfId="1" applyFont="1" applyFill="1" applyBorder="1"/>
    <xf numFmtId="0" fontId="2" fillId="2" borderId="5" xfId="1" applyFont="1" applyFill="1" applyBorder="1"/>
    <xf numFmtId="0" fontId="2" fillId="2" borderId="7" xfId="1" applyFont="1" applyFill="1" applyBorder="1"/>
    <xf numFmtId="0" fontId="1" fillId="0" borderId="0" xfId="1" applyAlignment="1">
      <alignment horizontal="center"/>
    </xf>
    <xf numFmtId="0" fontId="1" fillId="0" borderId="7" xfId="1" applyBorder="1" applyAlignment="1">
      <alignment horizontal="center"/>
    </xf>
    <xf numFmtId="0" fontId="1" fillId="8" borderId="8" xfId="1" applyFill="1" applyBorder="1" applyAlignment="1">
      <alignment vertical="center"/>
    </xf>
    <xf numFmtId="0" fontId="1" fillId="8" borderId="9" xfId="1" applyFill="1" applyBorder="1" applyAlignment="1">
      <alignment vertical="center"/>
    </xf>
    <xf numFmtId="0" fontId="7" fillId="8" borderId="9" xfId="1" applyFont="1" applyFill="1" applyBorder="1" applyAlignment="1">
      <alignment vertical="center"/>
    </xf>
    <xf numFmtId="0" fontId="8" fillId="8" borderId="9" xfId="1" applyFont="1" applyFill="1" applyBorder="1" applyAlignment="1">
      <alignment vertical="center"/>
    </xf>
    <xf numFmtId="0" fontId="9" fillId="8" borderId="10" xfId="1" applyFont="1" applyFill="1" applyBorder="1" applyAlignment="1">
      <alignment vertical="center"/>
    </xf>
    <xf numFmtId="0" fontId="1" fillId="0" borderId="6" xfId="1" applyBorder="1"/>
    <xf numFmtId="0" fontId="7" fillId="0" borderId="0" xfId="1" applyFont="1"/>
    <xf numFmtId="0" fontId="8" fillId="0" borderId="0" xfId="1" applyFont="1" applyAlignment="1">
      <alignment vertical="center"/>
    </xf>
    <xf numFmtId="0" fontId="9" fillId="0" borderId="7" xfId="1" applyFont="1" applyBorder="1"/>
    <xf numFmtId="0" fontId="1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8" fillId="8" borderId="38" xfId="1" applyFont="1" applyFill="1" applyBorder="1" applyAlignment="1">
      <alignment horizontal="center" vertical="center"/>
    </xf>
    <xf numFmtId="0" fontId="11" fillId="8" borderId="40" xfId="1" applyFont="1" applyFill="1" applyBorder="1" applyAlignment="1">
      <alignment vertical="center" wrapText="1"/>
    </xf>
    <xf numFmtId="0" fontId="11" fillId="8" borderId="29" xfId="1" applyFont="1" applyFill="1" applyBorder="1" applyAlignment="1">
      <alignment vertical="center" wrapText="1"/>
    </xf>
    <xf numFmtId="0" fontId="1" fillId="0" borderId="6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9" fillId="0" borderId="0" xfId="1" applyFont="1" applyAlignment="1">
      <alignment horizontal="left" vertical="center"/>
    </xf>
    <xf numFmtId="3" fontId="8" fillId="0" borderId="0" xfId="1" applyNumberFormat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1" fillId="8" borderId="8" xfId="1" applyFill="1" applyBorder="1" applyAlignment="1">
      <alignment horizontal="left" vertical="center"/>
    </xf>
    <xf numFmtId="0" fontId="1" fillId="8" borderId="9" xfId="1" applyFill="1" applyBorder="1" applyAlignment="1">
      <alignment horizontal="left" vertical="center"/>
    </xf>
    <xf numFmtId="0" fontId="9" fillId="8" borderId="9" xfId="1" applyFont="1" applyFill="1" applyBorder="1" applyAlignment="1">
      <alignment horizontal="left" vertical="center"/>
    </xf>
    <xf numFmtId="3" fontId="8" fillId="8" borderId="9" xfId="1" applyNumberFormat="1" applyFont="1" applyFill="1" applyBorder="1" applyAlignment="1">
      <alignment horizontal="left" vertical="center"/>
    </xf>
    <xf numFmtId="0" fontId="8" fillId="8" borderId="9" xfId="1" applyFont="1" applyFill="1" applyBorder="1" applyAlignment="1">
      <alignment horizontal="left" vertical="center"/>
    </xf>
    <xf numFmtId="0" fontId="9" fillId="8" borderId="10" xfId="1" applyFont="1" applyFill="1" applyBorder="1" applyAlignment="1">
      <alignment horizontal="left" vertical="center"/>
    </xf>
    <xf numFmtId="3" fontId="15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30" fillId="0" borderId="0" xfId="1" applyFont="1" applyAlignment="1">
      <alignment horizontal="center"/>
    </xf>
    <xf numFmtId="0" fontId="15" fillId="0" borderId="2" xfId="1" applyFont="1" applyBorder="1" applyAlignment="1">
      <alignment horizontal="center"/>
    </xf>
    <xf numFmtId="0" fontId="7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8" borderId="8" xfId="1" applyFill="1" applyBorder="1"/>
    <xf numFmtId="0" fontId="1" fillId="8" borderId="9" xfId="1" applyFill="1" applyBorder="1"/>
    <xf numFmtId="0" fontId="29" fillId="8" borderId="9" xfId="1" applyFont="1" applyFill="1" applyBorder="1" applyAlignment="1">
      <alignment horizontal="center"/>
    </xf>
    <xf numFmtId="0" fontId="15" fillId="8" borderId="9" xfId="1" applyFont="1" applyFill="1" applyBorder="1" applyAlignment="1">
      <alignment horizontal="center"/>
    </xf>
    <xf numFmtId="0" fontId="30" fillId="8" borderId="9" xfId="1" applyFont="1" applyFill="1" applyBorder="1" applyAlignment="1">
      <alignment horizontal="center"/>
    </xf>
    <xf numFmtId="0" fontId="11" fillId="8" borderId="9" xfId="1" applyFont="1" applyFill="1" applyBorder="1" applyAlignment="1">
      <alignment vertical="center"/>
    </xf>
    <xf numFmtId="0" fontId="11" fillId="0" borderId="0" xfId="1" applyFont="1"/>
    <xf numFmtId="0" fontId="3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3" fillId="8" borderId="46" xfId="1" applyFont="1" applyFill="1" applyBorder="1" applyAlignment="1">
      <alignment horizontal="center" vertical="center"/>
    </xf>
    <xf numFmtId="0" fontId="10" fillId="0" borderId="47" xfId="1" applyFont="1" applyBorder="1" applyAlignment="1">
      <alignment horizontal="center" vertical="center"/>
    </xf>
    <xf numFmtId="0" fontId="12" fillId="8" borderId="47" xfId="1" applyFont="1" applyFill="1" applyBorder="1" applyAlignment="1">
      <alignment horizontal="center" vertical="center"/>
    </xf>
    <xf numFmtId="0" fontId="10" fillId="0" borderId="48" xfId="1" applyFont="1" applyBorder="1" applyAlignment="1">
      <alignment horizontal="center" vertical="center"/>
    </xf>
    <xf numFmtId="0" fontId="1" fillId="0" borderId="9" xfId="1" applyBorder="1"/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 wrapText="1"/>
    </xf>
    <xf numFmtId="0" fontId="9" fillId="0" borderId="7" xfId="1" applyFont="1" applyBorder="1" applyAlignment="1">
      <alignment vertical="center"/>
    </xf>
    <xf numFmtId="0" fontId="32" fillId="8" borderId="9" xfId="1" applyFont="1" applyFill="1" applyBorder="1" applyAlignment="1">
      <alignment vertical="center"/>
    </xf>
    <xf numFmtId="0" fontId="33" fillId="8" borderId="9" xfId="1" applyFont="1" applyFill="1" applyBorder="1" applyAlignment="1">
      <alignment vertical="center" wrapText="1"/>
    </xf>
    <xf numFmtId="0" fontId="32" fillId="0" borderId="0" xfId="1" applyFont="1"/>
    <xf numFmtId="0" fontId="34" fillId="0" borderId="0" xfId="1" applyFont="1"/>
    <xf numFmtId="0" fontId="35" fillId="0" borderId="0" xfId="1" applyFont="1"/>
    <xf numFmtId="2" fontId="36" fillId="10" borderId="49" xfId="1" applyNumberFormat="1" applyFont="1" applyFill="1" applyBorder="1" applyAlignment="1">
      <alignment horizontal="center" vertical="center"/>
    </xf>
    <xf numFmtId="0" fontId="37" fillId="7" borderId="50" xfId="1" applyFont="1" applyFill="1" applyBorder="1" applyAlignment="1">
      <alignment horizontal="center" vertical="center"/>
    </xf>
    <xf numFmtId="2" fontId="36" fillId="5" borderId="51" xfId="1" applyNumberFormat="1" applyFont="1" applyFill="1" applyBorder="1" applyAlignment="1">
      <alignment horizontal="center" vertical="center"/>
    </xf>
    <xf numFmtId="0" fontId="37" fillId="7" borderId="7" xfId="1" applyFont="1" applyFill="1" applyBorder="1" applyAlignment="1">
      <alignment horizontal="center" vertical="center"/>
    </xf>
    <xf numFmtId="2" fontId="36" fillId="6" borderId="52" xfId="1" applyNumberFormat="1" applyFont="1" applyFill="1" applyBorder="1" applyAlignment="1">
      <alignment horizontal="center" vertical="center"/>
    </xf>
    <xf numFmtId="0" fontId="37" fillId="7" borderId="53" xfId="1" applyFont="1" applyFill="1" applyBorder="1" applyAlignment="1">
      <alignment horizontal="center" vertical="center"/>
    </xf>
    <xf numFmtId="0" fontId="39" fillId="12" borderId="0" xfId="1" applyFont="1" applyFill="1" applyAlignment="1">
      <alignment horizontal="center" vertical="center"/>
    </xf>
    <xf numFmtId="3" fontId="1" fillId="0" borderId="0" xfId="1" applyNumberFormat="1"/>
    <xf numFmtId="0" fontId="9" fillId="0" borderId="0" xfId="1" applyFont="1"/>
    <xf numFmtId="0" fontId="1" fillId="8" borderId="39" xfId="1" applyFill="1" applyBorder="1"/>
    <xf numFmtId="0" fontId="11" fillId="8" borderId="39" xfId="1" applyFont="1" applyFill="1" applyBorder="1" applyAlignment="1">
      <alignment vertical="center"/>
    </xf>
    <xf numFmtId="0" fontId="12" fillId="8" borderId="39" xfId="1" applyFont="1" applyFill="1" applyBorder="1" applyAlignment="1">
      <alignment vertical="center"/>
    </xf>
    <xf numFmtId="0" fontId="46" fillId="0" borderId="0" xfId="1" applyFont="1" applyAlignment="1">
      <alignment horizontal="center"/>
    </xf>
    <xf numFmtId="0" fontId="46" fillId="0" borderId="0" xfId="1" applyFont="1" applyAlignment="1">
      <alignment horizontal="center" vertical="center"/>
    </xf>
    <xf numFmtId="0" fontId="12" fillId="9" borderId="17" xfId="1" applyFont="1" applyFill="1" applyBorder="1" applyAlignment="1">
      <alignment horizontal="left" vertical="center"/>
    </xf>
    <xf numFmtId="0" fontId="12" fillId="9" borderId="16" xfId="1" applyFont="1" applyFill="1" applyBorder="1" applyAlignment="1">
      <alignment horizontal="left" vertical="center"/>
    </xf>
    <xf numFmtId="0" fontId="24" fillId="9" borderId="17" xfId="1" applyFont="1" applyFill="1" applyBorder="1" applyAlignment="1">
      <alignment horizontal="left" vertical="center"/>
    </xf>
    <xf numFmtId="0" fontId="24" fillId="9" borderId="16" xfId="1" applyFont="1" applyFill="1" applyBorder="1" applyAlignment="1">
      <alignment horizontal="left" vertical="center"/>
    </xf>
    <xf numFmtId="0" fontId="12" fillId="2" borderId="13" xfId="1" applyFont="1" applyFill="1" applyBorder="1" applyAlignment="1">
      <alignment horizontal="left" vertical="center"/>
    </xf>
    <xf numFmtId="0" fontId="12" fillId="2" borderId="12" xfId="1" applyFont="1" applyFill="1" applyBorder="1" applyAlignment="1">
      <alignment horizontal="left" vertical="center"/>
    </xf>
    <xf numFmtId="0" fontId="12" fillId="2" borderId="17" xfId="1" applyFont="1" applyFill="1" applyBorder="1" applyAlignment="1">
      <alignment horizontal="left" vertical="center"/>
    </xf>
    <xf numFmtId="0" fontId="12" fillId="2" borderId="16" xfId="1" applyFont="1" applyFill="1" applyBorder="1" applyAlignment="1">
      <alignment horizontal="left" vertical="center"/>
    </xf>
    <xf numFmtId="0" fontId="25" fillId="9" borderId="17" xfId="1" applyFont="1" applyFill="1" applyBorder="1" applyAlignment="1">
      <alignment horizontal="left" vertical="center"/>
    </xf>
    <xf numFmtId="0" fontId="25" fillId="9" borderId="16" xfId="1" applyFont="1" applyFill="1" applyBorder="1" applyAlignment="1">
      <alignment horizontal="left" vertical="center"/>
    </xf>
    <xf numFmtId="0" fontId="40" fillId="8" borderId="4" xfId="1" applyFont="1" applyFill="1" applyBorder="1" applyAlignment="1">
      <alignment horizontal="center" vertical="center"/>
    </xf>
    <xf numFmtId="0" fontId="40" fillId="8" borderId="3" xfId="1" applyFont="1" applyFill="1" applyBorder="1" applyAlignment="1">
      <alignment horizontal="center" vertical="center"/>
    </xf>
    <xf numFmtId="0" fontId="12" fillId="8" borderId="27" xfId="1" applyFont="1" applyFill="1" applyBorder="1" applyAlignment="1">
      <alignment horizontal="right" vertical="center"/>
    </xf>
    <xf numFmtId="0" fontId="12" fillId="8" borderId="47" xfId="1" applyFont="1" applyFill="1" applyBorder="1" applyAlignment="1">
      <alignment horizontal="right" vertical="center"/>
    </xf>
    <xf numFmtId="0" fontId="30" fillId="0" borderId="47" xfId="2" applyFont="1" applyBorder="1" applyAlignment="1" applyProtection="1">
      <alignment horizontal="left" vertical="center"/>
    </xf>
    <xf numFmtId="0" fontId="9" fillId="8" borderId="10" xfId="1" applyFont="1" applyFill="1" applyBorder="1" applyAlignment="1">
      <alignment horizontal="left" vertical="center"/>
    </xf>
    <xf numFmtId="0" fontId="9" fillId="8" borderId="9" xfId="1" applyFont="1" applyFill="1" applyBorder="1" applyAlignment="1">
      <alignment horizontal="left" vertical="center"/>
    </xf>
    <xf numFmtId="0" fontId="9" fillId="8" borderId="8" xfId="1" applyFont="1" applyFill="1" applyBorder="1" applyAlignment="1">
      <alignment horizontal="left" vertical="center"/>
    </xf>
    <xf numFmtId="0" fontId="41" fillId="8" borderId="7" xfId="1" applyFont="1" applyFill="1" applyBorder="1" applyAlignment="1">
      <alignment horizontal="center" vertical="center" wrapText="1"/>
    </xf>
    <xf numFmtId="0" fontId="41" fillId="8" borderId="0" xfId="1" applyFont="1" applyFill="1" applyAlignment="1">
      <alignment horizontal="center" vertical="center" wrapText="1"/>
    </xf>
    <xf numFmtId="0" fontId="41" fillId="8" borderId="6" xfId="1" applyFont="1" applyFill="1" applyBorder="1" applyAlignment="1">
      <alignment horizontal="center" vertical="center" wrapText="1"/>
    </xf>
    <xf numFmtId="0" fontId="41" fillId="8" borderId="5" xfId="1" applyFont="1" applyFill="1" applyBorder="1" applyAlignment="1">
      <alignment horizontal="center" vertical="center" wrapText="1"/>
    </xf>
    <xf numFmtId="0" fontId="41" fillId="8" borderId="2" xfId="1" applyFont="1" applyFill="1" applyBorder="1" applyAlignment="1">
      <alignment horizontal="center" vertical="center" wrapText="1"/>
    </xf>
    <xf numFmtId="0" fontId="41" fillId="8" borderId="1" xfId="1" applyFont="1" applyFill="1" applyBorder="1" applyAlignment="1">
      <alignment horizontal="center" vertical="center" wrapText="1"/>
    </xf>
    <xf numFmtId="0" fontId="12" fillId="8" borderId="7" xfId="1" applyFont="1" applyFill="1" applyBorder="1" applyAlignment="1">
      <alignment horizontal="center" vertical="center"/>
    </xf>
    <xf numFmtId="0" fontId="12" fillId="8" borderId="0" xfId="1" applyFont="1" applyFill="1" applyAlignment="1">
      <alignment horizontal="center" vertical="center"/>
    </xf>
    <xf numFmtId="0" fontId="12" fillId="8" borderId="6" xfId="1" applyFont="1" applyFill="1" applyBorder="1" applyAlignment="1">
      <alignment horizontal="center" vertical="center"/>
    </xf>
    <xf numFmtId="0" fontId="12" fillId="8" borderId="5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12" fillId="8" borderId="1" xfId="1" applyFont="1" applyFill="1" applyBorder="1" applyAlignment="1">
      <alignment horizontal="center" vertical="center"/>
    </xf>
    <xf numFmtId="0" fontId="27" fillId="8" borderId="7" xfId="1" applyFont="1" applyFill="1" applyBorder="1" applyAlignment="1">
      <alignment horizontal="center" vertical="center" wrapText="1"/>
    </xf>
    <xf numFmtId="0" fontId="27" fillId="8" borderId="0" xfId="1" applyFont="1" applyFill="1" applyAlignment="1">
      <alignment horizontal="center" vertical="center" wrapText="1"/>
    </xf>
    <xf numFmtId="0" fontId="27" fillId="8" borderId="6" xfId="1" applyFont="1" applyFill="1" applyBorder="1" applyAlignment="1">
      <alignment horizontal="center" vertical="center" wrapText="1"/>
    </xf>
    <xf numFmtId="0" fontId="27" fillId="8" borderId="10" xfId="1" applyFont="1" applyFill="1" applyBorder="1" applyAlignment="1">
      <alignment horizontal="center" vertical="center" wrapText="1"/>
    </xf>
    <xf numFmtId="0" fontId="27" fillId="8" borderId="9" xfId="1" applyFont="1" applyFill="1" applyBorder="1" applyAlignment="1">
      <alignment horizontal="center" vertical="center" wrapText="1"/>
    </xf>
    <xf numFmtId="0" fontId="27" fillId="8" borderId="8" xfId="1" applyFont="1" applyFill="1" applyBorder="1" applyAlignment="1">
      <alignment horizontal="center" vertical="center" wrapText="1"/>
    </xf>
    <xf numFmtId="3" fontId="10" fillId="0" borderId="29" xfId="1" applyNumberFormat="1" applyFont="1" applyBorder="1" applyAlignment="1">
      <alignment horizontal="center" vertical="center"/>
    </xf>
    <xf numFmtId="3" fontId="10" fillId="0" borderId="31" xfId="1" applyNumberFormat="1" applyFont="1" applyBorder="1" applyAlignment="1">
      <alignment horizontal="center" vertical="center"/>
    </xf>
    <xf numFmtId="164" fontId="10" fillId="0" borderId="29" xfId="1" applyNumberFormat="1" applyFont="1" applyBorder="1" applyAlignment="1">
      <alignment horizontal="center" vertical="center"/>
    </xf>
    <xf numFmtId="164" fontId="10" fillId="0" borderId="28" xfId="1" applyNumberFormat="1" applyFont="1" applyBorder="1" applyAlignment="1">
      <alignment horizontal="center" vertical="center"/>
    </xf>
    <xf numFmtId="0" fontId="47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46" fillId="8" borderId="4" xfId="1" applyFont="1" applyFill="1" applyBorder="1" applyAlignment="1">
      <alignment horizontal="center" vertical="center"/>
    </xf>
    <xf numFmtId="0" fontId="46" fillId="8" borderId="11" xfId="1" applyFont="1" applyFill="1" applyBorder="1" applyAlignment="1">
      <alignment horizontal="center" vertical="center"/>
    </xf>
    <xf numFmtId="0" fontId="46" fillId="8" borderId="3" xfId="1" applyFont="1" applyFill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12" fillId="8" borderId="27" xfId="1" applyFont="1" applyFill="1" applyBorder="1" applyAlignment="1">
      <alignment horizontal="left" vertical="center"/>
    </xf>
    <xf numFmtId="0" fontId="12" fillId="8" borderId="47" xfId="1" applyFont="1" applyFill="1" applyBorder="1" applyAlignment="1">
      <alignment horizontal="left" vertical="center"/>
    </xf>
    <xf numFmtId="0" fontId="45" fillId="0" borderId="47" xfId="1" applyFont="1" applyBorder="1" applyAlignment="1">
      <alignment horizontal="left" vertical="center"/>
    </xf>
    <xf numFmtId="0" fontId="12" fillId="8" borderId="47" xfId="1" applyFont="1" applyFill="1" applyBorder="1" applyAlignment="1">
      <alignment horizontal="center" vertical="center"/>
    </xf>
    <xf numFmtId="0" fontId="45" fillId="0" borderId="47" xfId="1" applyFont="1" applyBorder="1" applyAlignment="1">
      <alignment horizontal="center" vertical="center"/>
    </xf>
    <xf numFmtId="0" fontId="45" fillId="0" borderId="47" xfId="1" quotePrefix="1" applyFont="1" applyBorder="1" applyAlignment="1">
      <alignment horizontal="center" vertical="center"/>
    </xf>
    <xf numFmtId="0" fontId="45" fillId="0" borderId="26" xfId="1" quotePrefix="1" applyFont="1" applyBorder="1" applyAlignment="1">
      <alignment horizontal="center" vertical="center"/>
    </xf>
    <xf numFmtId="0" fontId="45" fillId="0" borderId="54" xfId="1" quotePrefix="1" applyFont="1" applyBorder="1" applyAlignment="1">
      <alignment horizontal="center" vertical="center"/>
    </xf>
    <xf numFmtId="0" fontId="45" fillId="0" borderId="44" xfId="1" quotePrefix="1" applyFont="1" applyBorder="1" applyAlignment="1">
      <alignment horizontal="center" vertical="center"/>
    </xf>
    <xf numFmtId="0" fontId="30" fillId="0" borderId="47" xfId="1" applyFont="1" applyBorder="1" applyAlignment="1">
      <alignment horizontal="left" vertical="center"/>
    </xf>
    <xf numFmtId="0" fontId="30" fillId="0" borderId="26" xfId="1" applyFont="1" applyBorder="1" applyAlignment="1">
      <alignment horizontal="left" vertical="center"/>
    </xf>
    <xf numFmtId="0" fontId="45" fillId="0" borderId="26" xfId="1" applyFont="1" applyBorder="1" applyAlignment="1">
      <alignment horizontal="left" vertical="center"/>
    </xf>
    <xf numFmtId="0" fontId="42" fillId="0" borderId="47" xfId="2" applyBorder="1" applyAlignment="1" applyProtection="1">
      <alignment horizontal="left" vertical="center"/>
    </xf>
    <xf numFmtId="0" fontId="42" fillId="0" borderId="26" xfId="2" applyBorder="1" applyAlignment="1" applyProtection="1">
      <alignment horizontal="left" vertical="center"/>
    </xf>
    <xf numFmtId="0" fontId="12" fillId="8" borderId="25" xfId="1" applyFont="1" applyFill="1" applyBorder="1" applyAlignment="1">
      <alignment horizontal="center" vertical="center"/>
    </xf>
    <xf numFmtId="0" fontId="12" fillId="8" borderId="39" xfId="1" applyFont="1" applyFill="1" applyBorder="1" applyAlignment="1">
      <alignment horizontal="center" vertical="center"/>
    </xf>
    <xf numFmtId="0" fontId="43" fillId="0" borderId="39" xfId="2" applyFont="1" applyBorder="1" applyAlignment="1" applyProtection="1">
      <alignment horizontal="left" vertical="center"/>
    </xf>
    <xf numFmtId="0" fontId="1" fillId="0" borderId="39" xfId="1" applyBorder="1" applyAlignment="1">
      <alignment horizontal="left"/>
    </xf>
    <xf numFmtId="0" fontId="1" fillId="0" borderId="24" xfId="1" applyBorder="1" applyAlignment="1">
      <alignment horizontal="left"/>
    </xf>
    <xf numFmtId="0" fontId="44" fillId="8" borderId="17" xfId="1" applyFont="1" applyFill="1" applyBorder="1" applyAlignment="1">
      <alignment horizontal="left" vertical="center"/>
    </xf>
    <xf numFmtId="0" fontId="44" fillId="8" borderId="19" xfId="1" applyFont="1" applyFill="1" applyBorder="1" applyAlignment="1">
      <alignment horizontal="left" vertical="center"/>
    </xf>
    <xf numFmtId="0" fontId="44" fillId="8" borderId="16" xfId="1" applyFont="1" applyFill="1" applyBorder="1" applyAlignment="1">
      <alignment horizontal="left" vertical="center"/>
    </xf>
    <xf numFmtId="0" fontId="1" fillId="0" borderId="47" xfId="1" applyBorder="1" applyAlignment="1">
      <alignment horizontal="left"/>
    </xf>
    <xf numFmtId="0" fontId="7" fillId="0" borderId="47" xfId="1" applyFont="1" applyBorder="1" applyAlignment="1">
      <alignment horizontal="left" vertical="center"/>
    </xf>
    <xf numFmtId="0" fontId="7" fillId="0" borderId="26" xfId="1" applyFont="1" applyBorder="1" applyAlignment="1">
      <alignment horizontal="left" vertical="center"/>
    </xf>
    <xf numFmtId="0" fontId="27" fillId="8" borderId="10" xfId="1" applyFont="1" applyFill="1" applyBorder="1" applyAlignment="1">
      <alignment horizontal="center" vertical="center"/>
    </xf>
    <xf numFmtId="0" fontId="27" fillId="8" borderId="8" xfId="1" applyFont="1" applyFill="1" applyBorder="1" applyAlignment="1">
      <alignment horizontal="center" vertical="center"/>
    </xf>
    <xf numFmtId="0" fontId="38" fillId="9" borderId="10" xfId="1" applyFont="1" applyFill="1" applyBorder="1" applyAlignment="1">
      <alignment horizontal="left" vertical="center"/>
    </xf>
    <xf numFmtId="0" fontId="38" fillId="9" borderId="9" xfId="1" applyFont="1" applyFill="1" applyBorder="1" applyAlignment="1">
      <alignment horizontal="left" vertical="center"/>
    </xf>
    <xf numFmtId="0" fontId="38" fillId="9" borderId="8" xfId="1" applyFont="1" applyFill="1" applyBorder="1" applyAlignment="1">
      <alignment horizontal="left" vertical="center"/>
    </xf>
    <xf numFmtId="3" fontId="10" fillId="0" borderId="33" xfId="1" applyNumberFormat="1" applyFont="1" applyBorder="1" applyAlignment="1">
      <alignment horizontal="center" vertical="center"/>
    </xf>
    <xf numFmtId="3" fontId="10" fillId="0" borderId="32" xfId="1" applyNumberFormat="1" applyFont="1" applyBorder="1" applyAlignment="1">
      <alignment horizontal="center" vertical="center"/>
    </xf>
    <xf numFmtId="3" fontId="10" fillId="0" borderId="28" xfId="1" applyNumberFormat="1" applyFont="1" applyBorder="1" applyAlignment="1">
      <alignment horizontal="center" vertical="center"/>
    </xf>
    <xf numFmtId="164" fontId="10" fillId="0" borderId="17" xfId="1" applyNumberFormat="1" applyFont="1" applyBorder="1" applyAlignment="1">
      <alignment horizontal="center" vertical="center"/>
    </xf>
    <xf numFmtId="164" fontId="10" fillId="0" borderId="16" xfId="1" applyNumberFormat="1" applyFont="1" applyBorder="1" applyAlignment="1">
      <alignment horizontal="center" vertical="center"/>
    </xf>
    <xf numFmtId="0" fontId="38" fillId="9" borderId="27" xfId="1" applyFont="1" applyFill="1" applyBorder="1" applyAlignment="1">
      <alignment horizontal="left" vertical="center"/>
    </xf>
    <xf numFmtId="0" fontId="38" fillId="9" borderId="47" xfId="1" applyFont="1" applyFill="1" applyBorder="1" applyAlignment="1">
      <alignment horizontal="left" vertical="center"/>
    </xf>
    <xf numFmtId="0" fontId="38" fillId="9" borderId="26" xfId="1" applyFont="1" applyFill="1" applyBorder="1" applyAlignment="1">
      <alignment horizontal="left" vertical="center"/>
    </xf>
    <xf numFmtId="3" fontId="10" fillId="0" borderId="17" xfId="1" applyNumberFormat="1" applyFont="1" applyBorder="1" applyAlignment="1">
      <alignment horizontal="center" vertical="center"/>
    </xf>
    <xf numFmtId="3" fontId="10" fillId="0" borderId="19" xfId="1" applyNumberFormat="1" applyFont="1" applyBorder="1" applyAlignment="1">
      <alignment horizontal="center" vertical="center"/>
    </xf>
    <xf numFmtId="3" fontId="10" fillId="11" borderId="27" xfId="1" applyNumberFormat="1" applyFont="1" applyFill="1" applyBorder="1" applyAlignment="1">
      <alignment horizontal="center" vertical="center"/>
    </xf>
    <xf numFmtId="3" fontId="10" fillId="11" borderId="26" xfId="1" applyNumberFormat="1" applyFont="1" applyFill="1" applyBorder="1" applyAlignment="1">
      <alignment horizontal="center" vertical="center"/>
    </xf>
    <xf numFmtId="3" fontId="10" fillId="0" borderId="16" xfId="1" applyNumberFormat="1" applyFont="1" applyBorder="1" applyAlignment="1">
      <alignment horizontal="center" vertical="center"/>
    </xf>
    <xf numFmtId="164" fontId="10" fillId="11" borderId="17" xfId="1" applyNumberFormat="1" applyFont="1" applyFill="1" applyBorder="1" applyAlignment="1">
      <alignment horizontal="center" vertical="center"/>
    </xf>
    <xf numFmtId="164" fontId="10" fillId="11" borderId="16" xfId="1" applyNumberFormat="1" applyFont="1" applyFill="1" applyBorder="1" applyAlignment="1">
      <alignment horizontal="center" vertical="center"/>
    </xf>
    <xf numFmtId="3" fontId="10" fillId="0" borderId="27" xfId="1" applyNumberFormat="1" applyFont="1" applyBorder="1" applyAlignment="1">
      <alignment horizontal="center" vertical="center"/>
    </xf>
    <xf numFmtId="3" fontId="10" fillId="0" borderId="26" xfId="1" applyNumberFormat="1" applyFont="1" applyBorder="1" applyAlignment="1">
      <alignment horizontal="center" vertical="center"/>
    </xf>
    <xf numFmtId="3" fontId="10" fillId="0" borderId="13" xfId="1" quotePrefix="1" applyNumberFormat="1" applyFont="1" applyBorder="1" applyAlignment="1">
      <alignment horizontal="center" vertical="center"/>
    </xf>
    <xf numFmtId="3" fontId="10" fillId="0" borderId="15" xfId="1" quotePrefix="1" applyNumberFormat="1" applyFont="1" applyBorder="1" applyAlignment="1">
      <alignment horizontal="center" vertical="center"/>
    </xf>
    <xf numFmtId="0" fontId="12" fillId="9" borderId="29" xfId="1" applyFont="1" applyFill="1" applyBorder="1" applyAlignment="1">
      <alignment horizontal="left" vertical="center"/>
    </xf>
    <xf numFmtId="0" fontId="12" fillId="9" borderId="28" xfId="1" applyFont="1" applyFill="1" applyBorder="1" applyAlignment="1">
      <alignment horizontal="left" vertical="center"/>
    </xf>
    <xf numFmtId="0" fontId="38" fillId="9" borderId="25" xfId="1" applyFont="1" applyFill="1" applyBorder="1" applyAlignment="1">
      <alignment horizontal="left" vertical="center"/>
    </xf>
    <xf numFmtId="0" fontId="38" fillId="9" borderId="39" xfId="1" applyFont="1" applyFill="1" applyBorder="1" applyAlignment="1">
      <alignment horizontal="left" vertical="center"/>
    </xf>
    <xf numFmtId="0" fontId="38" fillId="9" borderId="24" xfId="1" applyFont="1" applyFill="1" applyBorder="1" applyAlignment="1">
      <alignment horizontal="left" vertical="center"/>
    </xf>
    <xf numFmtId="3" fontId="10" fillId="0" borderId="25" xfId="1" applyNumberFormat="1" applyFont="1" applyBorder="1" applyAlignment="1">
      <alignment horizontal="center" vertical="center"/>
    </xf>
    <xf numFmtId="3" fontId="10" fillId="0" borderId="24" xfId="1" applyNumberFormat="1" applyFont="1" applyBorder="1" applyAlignment="1">
      <alignment horizontal="center" vertical="center"/>
    </xf>
    <xf numFmtId="3" fontId="10" fillId="0" borderId="13" xfId="1" applyNumberFormat="1" applyFont="1" applyBorder="1" applyAlignment="1">
      <alignment horizontal="center" vertical="center"/>
    </xf>
    <xf numFmtId="3" fontId="10" fillId="0" borderId="12" xfId="1" applyNumberFormat="1" applyFont="1" applyBorder="1" applyAlignment="1">
      <alignment horizontal="center" vertical="center"/>
    </xf>
    <xf numFmtId="3" fontId="4" fillId="5" borderId="4" xfId="1" applyNumberFormat="1" applyFont="1" applyFill="1" applyBorder="1" applyAlignment="1">
      <alignment horizontal="center" vertical="center"/>
    </xf>
    <xf numFmtId="3" fontId="4" fillId="5" borderId="3" xfId="1" applyNumberFormat="1" applyFont="1" applyFill="1" applyBorder="1" applyAlignment="1">
      <alignment horizontal="center" vertical="center"/>
    </xf>
    <xf numFmtId="3" fontId="3" fillId="11" borderId="13" xfId="1" quotePrefix="1" applyNumberFormat="1" applyFont="1" applyFill="1" applyBorder="1" applyAlignment="1">
      <alignment horizontal="center" vertical="center"/>
    </xf>
    <xf numFmtId="3" fontId="3" fillId="11" borderId="12" xfId="1" quotePrefix="1" applyNumberFormat="1" applyFont="1" applyFill="1" applyBorder="1" applyAlignment="1">
      <alignment horizontal="center" vertical="center"/>
    </xf>
    <xf numFmtId="3" fontId="10" fillId="0" borderId="29" xfId="1" quotePrefix="1" applyNumberFormat="1" applyFont="1" applyBorder="1" applyAlignment="1">
      <alignment horizontal="center" vertical="center"/>
    </xf>
    <xf numFmtId="3" fontId="10" fillId="0" borderId="28" xfId="1" quotePrefix="1" applyNumberFormat="1" applyFont="1" applyBorder="1" applyAlignment="1">
      <alignment horizontal="center" vertical="center"/>
    </xf>
    <xf numFmtId="0" fontId="12" fillId="0" borderId="10" xfId="1" applyFont="1" applyBorder="1" applyAlignment="1">
      <alignment horizontal="left" vertical="top" wrapText="1"/>
    </xf>
    <xf numFmtId="0" fontId="12" fillId="0" borderId="8" xfId="1" applyFont="1" applyBorder="1" applyAlignment="1">
      <alignment horizontal="left" vertical="top" wrapText="1"/>
    </xf>
    <xf numFmtId="0" fontId="12" fillId="0" borderId="21" xfId="1" applyFont="1" applyBorder="1" applyAlignment="1">
      <alignment horizontal="left" vertical="top" wrapText="1"/>
    </xf>
    <xf numFmtId="0" fontId="12" fillId="0" borderId="44" xfId="1" applyFont="1" applyBorder="1" applyAlignment="1">
      <alignment horizontal="left" vertical="top" wrapText="1"/>
    </xf>
    <xf numFmtId="3" fontId="10" fillId="0" borderId="10" xfId="1" quotePrefix="1" applyNumberFormat="1" applyFont="1" applyBorder="1" applyAlignment="1">
      <alignment horizontal="center" vertical="center"/>
    </xf>
    <xf numFmtId="3" fontId="10" fillId="0" borderId="8" xfId="1" quotePrefix="1" applyNumberFormat="1" applyFont="1" applyBorder="1" applyAlignment="1">
      <alignment horizontal="center" vertical="center"/>
    </xf>
    <xf numFmtId="3" fontId="10" fillId="0" borderId="21" xfId="1" quotePrefix="1" applyNumberFormat="1" applyFont="1" applyBorder="1" applyAlignment="1">
      <alignment horizontal="center" vertical="center"/>
    </xf>
    <xf numFmtId="3" fontId="10" fillId="0" borderId="44" xfId="1" quotePrefix="1" applyNumberFormat="1" applyFont="1" applyBorder="1" applyAlignment="1">
      <alignment horizontal="center" vertical="center"/>
    </xf>
    <xf numFmtId="3" fontId="10" fillId="0" borderId="17" xfId="1" quotePrefix="1" applyNumberFormat="1" applyFont="1" applyBorder="1" applyAlignment="1">
      <alignment horizontal="center" vertical="center"/>
    </xf>
    <xf numFmtId="3" fontId="10" fillId="0" borderId="16" xfId="1" quotePrefix="1" applyNumberFormat="1" applyFont="1" applyBorder="1" applyAlignment="1">
      <alignment horizontal="center" vertical="center"/>
    </xf>
    <xf numFmtId="0" fontId="12" fillId="8" borderId="4" xfId="1" applyFont="1" applyFill="1" applyBorder="1" applyAlignment="1">
      <alignment horizontal="center" vertical="center"/>
    </xf>
    <xf numFmtId="0" fontId="12" fillId="8" borderId="11" xfId="1" applyFont="1" applyFill="1" applyBorder="1" applyAlignment="1">
      <alignment horizontal="center" vertical="center"/>
    </xf>
    <xf numFmtId="0" fontId="12" fillId="8" borderId="3" xfId="1" applyFont="1" applyFill="1" applyBorder="1" applyAlignment="1">
      <alignment horizontal="center" vertical="center"/>
    </xf>
    <xf numFmtId="3" fontId="3" fillId="2" borderId="4" xfId="1" applyNumberFormat="1" applyFont="1" applyFill="1" applyBorder="1" applyAlignment="1">
      <alignment horizontal="center" vertical="center"/>
    </xf>
    <xf numFmtId="3" fontId="3" fillId="2" borderId="3" xfId="1" applyNumberFormat="1" applyFont="1" applyFill="1" applyBorder="1" applyAlignment="1">
      <alignment horizontal="center" vertical="center"/>
    </xf>
    <xf numFmtId="3" fontId="4" fillId="7" borderId="4" xfId="1" applyNumberFormat="1" applyFont="1" applyFill="1" applyBorder="1" applyAlignment="1">
      <alignment horizontal="center" vertical="center"/>
    </xf>
    <xf numFmtId="3" fontId="4" fillId="7" borderId="3" xfId="1" applyNumberFormat="1" applyFont="1" applyFill="1" applyBorder="1" applyAlignment="1">
      <alignment horizontal="center" vertical="center"/>
    </xf>
    <xf numFmtId="3" fontId="4" fillId="6" borderId="4" xfId="1" applyNumberFormat="1" applyFont="1" applyFill="1" applyBorder="1" applyAlignment="1">
      <alignment horizontal="center" vertical="center"/>
    </xf>
    <xf numFmtId="3" fontId="4" fillId="6" borderId="3" xfId="1" applyNumberFormat="1" applyFont="1" applyFill="1" applyBorder="1" applyAlignment="1">
      <alignment horizontal="center" vertical="center"/>
    </xf>
    <xf numFmtId="0" fontId="12" fillId="0" borderId="17" xfId="1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0" fontId="26" fillId="0" borderId="40" xfId="1" applyFont="1" applyBorder="1" applyAlignment="1">
      <alignment horizontal="left" vertical="center" wrapText="1"/>
    </xf>
    <xf numFmtId="0" fontId="26" fillId="0" borderId="22" xfId="1" applyFont="1" applyBorder="1" applyAlignment="1">
      <alignment horizontal="left" vertical="center" wrapText="1"/>
    </xf>
    <xf numFmtId="0" fontId="26" fillId="0" borderId="21" xfId="1" applyFont="1" applyBorder="1" applyAlignment="1">
      <alignment horizontal="left" vertical="center" wrapText="1"/>
    </xf>
    <xf numFmtId="0" fontId="26" fillId="0" borderId="44" xfId="1" applyFont="1" applyBorder="1" applyAlignment="1">
      <alignment horizontal="left" vertical="center" wrapText="1"/>
    </xf>
    <xf numFmtId="3" fontId="10" fillId="0" borderId="40" xfId="1" quotePrefix="1" applyNumberFormat="1" applyFont="1" applyBorder="1" applyAlignment="1">
      <alignment horizontal="center" vertical="center"/>
    </xf>
    <xf numFmtId="3" fontId="10" fillId="0" borderId="22" xfId="1" quotePrefix="1" applyNumberFormat="1" applyFont="1" applyBorder="1" applyAlignment="1">
      <alignment horizontal="center" vertical="center"/>
    </xf>
    <xf numFmtId="0" fontId="31" fillId="8" borderId="5" xfId="1" applyFont="1" applyFill="1" applyBorder="1" applyAlignment="1">
      <alignment horizontal="center" vertical="top"/>
    </xf>
    <xf numFmtId="0" fontId="31" fillId="8" borderId="2" xfId="1" applyFont="1" applyFill="1" applyBorder="1" applyAlignment="1">
      <alignment horizontal="center" vertical="top"/>
    </xf>
    <xf numFmtId="0" fontId="31" fillId="8" borderId="1" xfId="1" applyFont="1" applyFill="1" applyBorder="1" applyAlignment="1">
      <alignment horizontal="center" vertical="top"/>
    </xf>
    <xf numFmtId="0" fontId="20" fillId="8" borderId="45" xfId="1" applyFont="1" applyFill="1" applyBorder="1" applyAlignment="1">
      <alignment horizontal="center" vertical="center" textRotation="90"/>
    </xf>
    <xf numFmtId="0" fontId="20" fillId="8" borderId="7" xfId="1" applyFont="1" applyFill="1" applyBorder="1" applyAlignment="1">
      <alignment horizontal="center" vertical="center" textRotation="90"/>
    </xf>
    <xf numFmtId="0" fontId="20" fillId="8" borderId="43" xfId="1" applyFont="1" applyFill="1" applyBorder="1" applyAlignment="1">
      <alignment horizontal="center" vertical="center" textRotation="90"/>
    </xf>
    <xf numFmtId="0" fontId="20" fillId="8" borderId="42" xfId="1" applyFont="1" applyFill="1" applyBorder="1" applyAlignment="1">
      <alignment horizontal="center" vertical="center" textRotation="90"/>
    </xf>
    <xf numFmtId="0" fontId="12" fillId="8" borderId="10" xfId="1" applyFont="1" applyFill="1" applyBorder="1" applyAlignment="1">
      <alignment horizontal="center" vertical="center"/>
    </xf>
    <xf numFmtId="0" fontId="12" fillId="8" borderId="8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horizontal="center" vertical="center" wrapText="1"/>
    </xf>
    <xf numFmtId="0" fontId="12" fillId="8" borderId="3" xfId="1" applyFont="1" applyFill="1" applyBorder="1" applyAlignment="1">
      <alignment horizontal="center" vertical="center" wrapText="1"/>
    </xf>
    <xf numFmtId="3" fontId="10" fillId="0" borderId="12" xfId="1" quotePrefix="1" applyNumberFormat="1" applyFont="1" applyBorder="1" applyAlignment="1">
      <alignment horizontal="center" vertical="center"/>
    </xf>
    <xf numFmtId="0" fontId="19" fillId="8" borderId="10" xfId="1" applyFont="1" applyFill="1" applyBorder="1" applyAlignment="1">
      <alignment horizontal="center" vertical="center" wrapText="1"/>
    </xf>
    <xf numFmtId="0" fontId="19" fillId="8" borderId="8" xfId="1" applyFont="1" applyFill="1" applyBorder="1" applyAlignment="1">
      <alignment horizontal="center" vertical="center" wrapText="1"/>
    </xf>
    <xf numFmtId="0" fontId="19" fillId="8" borderId="5" xfId="1" applyFont="1" applyFill="1" applyBorder="1" applyAlignment="1">
      <alignment horizontal="center" vertical="center" wrapText="1"/>
    </xf>
    <xf numFmtId="0" fontId="19" fillId="8" borderId="1" xfId="1" applyFont="1" applyFill="1" applyBorder="1" applyAlignment="1">
      <alignment horizontal="center" vertical="center" wrapText="1"/>
    </xf>
    <xf numFmtId="3" fontId="3" fillId="3" borderId="10" xfId="1" applyNumberFormat="1" applyFont="1" applyFill="1" applyBorder="1" applyAlignment="1">
      <alignment horizontal="center" vertical="center"/>
    </xf>
    <xf numFmtId="3" fontId="3" fillId="3" borderId="8" xfId="1" applyNumberFormat="1" applyFont="1" applyFill="1" applyBorder="1" applyAlignment="1">
      <alignment horizontal="center" vertical="center"/>
    </xf>
    <xf numFmtId="3" fontId="3" fillId="3" borderId="5" xfId="1" applyNumberFormat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 vertical="center"/>
    </xf>
    <xf numFmtId="3" fontId="3" fillId="2" borderId="10" xfId="1" applyNumberFormat="1" applyFont="1" applyFill="1" applyBorder="1" applyAlignment="1">
      <alignment horizontal="center" vertical="center"/>
    </xf>
    <xf numFmtId="3" fontId="3" fillId="2" borderId="8" xfId="1" applyNumberFormat="1" applyFont="1" applyFill="1" applyBorder="1" applyAlignment="1">
      <alignment horizontal="center" vertical="center"/>
    </xf>
    <xf numFmtId="3" fontId="3" fillId="2" borderId="5" xfId="1" applyNumberFormat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3" fontId="10" fillId="2" borderId="17" xfId="1" quotePrefix="1" applyNumberFormat="1" applyFont="1" applyFill="1" applyBorder="1" applyAlignment="1">
      <alignment horizontal="center" vertical="center"/>
    </xf>
    <xf numFmtId="3" fontId="10" fillId="2" borderId="16" xfId="1" quotePrefix="1" applyNumberFormat="1" applyFont="1" applyFill="1" applyBorder="1" applyAlignment="1">
      <alignment horizontal="center" vertical="center"/>
    </xf>
    <xf numFmtId="3" fontId="10" fillId="2" borderId="17" xfId="1" applyNumberFormat="1" applyFont="1" applyFill="1" applyBorder="1" applyAlignment="1">
      <alignment horizontal="center" vertical="center"/>
    </xf>
    <xf numFmtId="3" fontId="10" fillId="2" borderId="16" xfId="1" applyNumberFormat="1" applyFont="1" applyFill="1" applyBorder="1" applyAlignment="1">
      <alignment horizontal="center" vertical="center"/>
    </xf>
    <xf numFmtId="0" fontId="23" fillId="8" borderId="10" xfId="1" applyFont="1" applyFill="1" applyBorder="1" applyAlignment="1">
      <alignment horizontal="center" vertical="center"/>
    </xf>
    <xf numFmtId="0" fontId="23" fillId="8" borderId="9" xfId="1" applyFont="1" applyFill="1" applyBorder="1" applyAlignment="1">
      <alignment horizontal="center" vertical="center"/>
    </xf>
    <xf numFmtId="0" fontId="23" fillId="8" borderId="8" xfId="1" applyFont="1" applyFill="1" applyBorder="1" applyAlignment="1">
      <alignment horizontal="center" vertical="center"/>
    </xf>
    <xf numFmtId="0" fontId="23" fillId="8" borderId="5" xfId="1" applyFont="1" applyFill="1" applyBorder="1" applyAlignment="1">
      <alignment horizontal="center" vertical="center"/>
    </xf>
    <xf numFmtId="0" fontId="23" fillId="8" borderId="2" xfId="1" applyFont="1" applyFill="1" applyBorder="1" applyAlignment="1">
      <alignment horizontal="center" vertical="center"/>
    </xf>
    <xf numFmtId="0" fontId="23" fillId="8" borderId="1" xfId="1" applyFont="1" applyFill="1" applyBorder="1" applyAlignment="1">
      <alignment horizontal="center" vertical="center"/>
    </xf>
    <xf numFmtId="3" fontId="22" fillId="7" borderId="10" xfId="1" applyNumberFormat="1" applyFont="1" applyFill="1" applyBorder="1" applyAlignment="1">
      <alignment horizontal="center" vertical="center"/>
    </xf>
    <xf numFmtId="3" fontId="22" fillId="7" borderId="8" xfId="1" applyNumberFormat="1" applyFont="1" applyFill="1" applyBorder="1" applyAlignment="1">
      <alignment horizontal="center" vertical="center"/>
    </xf>
    <xf numFmtId="3" fontId="22" fillId="7" borderId="5" xfId="1" applyNumberFormat="1" applyFont="1" applyFill="1" applyBorder="1" applyAlignment="1">
      <alignment horizontal="center" vertical="center"/>
    </xf>
    <xf numFmtId="3" fontId="22" fillId="7" borderId="1" xfId="1" applyNumberFormat="1" applyFont="1" applyFill="1" applyBorder="1" applyAlignment="1">
      <alignment horizontal="center" vertical="center"/>
    </xf>
    <xf numFmtId="3" fontId="21" fillId="5" borderId="10" xfId="1" applyNumberFormat="1" applyFont="1" applyFill="1" applyBorder="1" applyAlignment="1">
      <alignment horizontal="center" vertical="center"/>
    </xf>
    <xf numFmtId="3" fontId="21" fillId="5" borderId="8" xfId="1" applyNumberFormat="1" applyFont="1" applyFill="1" applyBorder="1" applyAlignment="1">
      <alignment horizontal="center" vertical="center"/>
    </xf>
    <xf numFmtId="3" fontId="21" fillId="5" borderId="5" xfId="1" applyNumberFormat="1" applyFont="1" applyFill="1" applyBorder="1" applyAlignment="1">
      <alignment horizontal="center" vertical="center"/>
    </xf>
    <xf numFmtId="3" fontId="21" fillId="5" borderId="1" xfId="1" applyNumberFormat="1" applyFont="1" applyFill="1" applyBorder="1" applyAlignment="1">
      <alignment horizontal="center" vertical="center"/>
    </xf>
    <xf numFmtId="3" fontId="10" fillId="2" borderId="13" xfId="1" quotePrefix="1" applyNumberFormat="1" applyFont="1" applyFill="1" applyBorder="1" applyAlignment="1">
      <alignment horizontal="center" vertical="center"/>
    </xf>
    <xf numFmtId="3" fontId="10" fillId="2" borderId="12" xfId="1" quotePrefix="1" applyNumberFormat="1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 wrapText="1"/>
    </xf>
    <xf numFmtId="0" fontId="16" fillId="8" borderId="3" xfId="1" applyFont="1" applyFill="1" applyBorder="1" applyAlignment="1">
      <alignment horizontal="center" vertical="center" wrapText="1"/>
    </xf>
    <xf numFmtId="3" fontId="3" fillId="4" borderId="33" xfId="1" applyNumberFormat="1" applyFont="1" applyFill="1" applyBorder="1" applyAlignment="1">
      <alignment horizontal="center" vertical="center"/>
    </xf>
    <xf numFmtId="3" fontId="3" fillId="4" borderId="32" xfId="1" applyNumberFormat="1" applyFont="1" applyFill="1" applyBorder="1" applyAlignment="1">
      <alignment horizontal="center" vertical="center"/>
    </xf>
    <xf numFmtId="3" fontId="10" fillId="0" borderId="30" xfId="1" applyNumberFormat="1" applyFont="1" applyBorder="1" applyAlignment="1">
      <alignment horizontal="center" vertical="center"/>
    </xf>
    <xf numFmtId="3" fontId="10" fillId="0" borderId="41" xfId="1" applyNumberFormat="1" applyFont="1" applyBorder="1" applyAlignment="1">
      <alignment horizontal="center" vertical="center"/>
    </xf>
    <xf numFmtId="0" fontId="19" fillId="8" borderId="7" xfId="1" applyFont="1" applyFill="1" applyBorder="1" applyAlignment="1">
      <alignment horizontal="center" vertical="center" wrapText="1"/>
    </xf>
    <xf numFmtId="0" fontId="19" fillId="8" borderId="6" xfId="1" applyFont="1" applyFill="1" applyBorder="1" applyAlignment="1">
      <alignment horizontal="center" vertical="center" wrapText="1"/>
    </xf>
    <xf numFmtId="3" fontId="3" fillId="4" borderId="10" xfId="1" applyNumberFormat="1" applyFont="1" applyFill="1" applyBorder="1" applyAlignment="1">
      <alignment horizontal="center" vertical="center"/>
    </xf>
    <xf numFmtId="3" fontId="3" fillId="4" borderId="8" xfId="1" applyNumberFormat="1" applyFont="1" applyFill="1" applyBorder="1" applyAlignment="1">
      <alignment horizontal="center" vertical="center"/>
    </xf>
    <xf numFmtId="3" fontId="3" fillId="4" borderId="5" xfId="1" applyNumberFormat="1" applyFont="1" applyFill="1" applyBorder="1" applyAlignment="1">
      <alignment horizontal="center" vertical="center"/>
    </xf>
    <xf numFmtId="3" fontId="3" fillId="4" borderId="1" xfId="1" applyNumberFormat="1" applyFont="1" applyFill="1" applyBorder="1" applyAlignment="1">
      <alignment horizontal="center" vertical="center"/>
    </xf>
    <xf numFmtId="0" fontId="17" fillId="8" borderId="4" xfId="1" applyFont="1" applyFill="1" applyBorder="1" applyAlignment="1">
      <alignment horizontal="center" vertical="center" wrapText="1"/>
    </xf>
    <xf numFmtId="0" fontId="17" fillId="8" borderId="3" xfId="1" applyFont="1" applyFill="1" applyBorder="1" applyAlignment="1">
      <alignment horizontal="center" vertical="center" wrapText="1"/>
    </xf>
    <xf numFmtId="3" fontId="10" fillId="0" borderId="39" xfId="1" applyNumberFormat="1" applyFont="1" applyBorder="1" applyAlignment="1">
      <alignment horizontal="center" vertical="center"/>
    </xf>
    <xf numFmtId="0" fontId="12" fillId="8" borderId="34" xfId="1" applyFont="1" applyFill="1" applyBorder="1" applyAlignment="1">
      <alignment horizontal="center" vertical="center"/>
    </xf>
    <xf numFmtId="0" fontId="12" fillId="8" borderId="35" xfId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3" fontId="3" fillId="2" borderId="37" xfId="1" applyNumberFormat="1" applyFont="1" applyFill="1" applyBorder="1" applyAlignment="1">
      <alignment horizontal="center" vertical="center"/>
    </xf>
    <xf numFmtId="3" fontId="3" fillId="2" borderId="36" xfId="1" applyNumberFormat="1" applyFont="1" applyFill="1" applyBorder="1" applyAlignment="1">
      <alignment horizontal="center" vertical="center"/>
    </xf>
    <xf numFmtId="3" fontId="3" fillId="3" borderId="25" xfId="1" applyNumberFormat="1" applyFont="1" applyFill="1" applyBorder="1" applyAlignment="1">
      <alignment horizontal="center" vertical="center"/>
    </xf>
    <xf numFmtId="3" fontId="3" fillId="3" borderId="24" xfId="1" applyNumberFormat="1" applyFont="1" applyFill="1" applyBorder="1" applyAlignment="1">
      <alignment horizontal="center" vertical="center"/>
    </xf>
    <xf numFmtId="3" fontId="10" fillId="0" borderId="14" xfId="1" applyNumberFormat="1" applyFont="1" applyBorder="1" applyAlignment="1">
      <alignment horizontal="center" vertical="center"/>
    </xf>
    <xf numFmtId="0" fontId="15" fillId="8" borderId="4" xfId="1" quotePrefix="1" applyFont="1" applyFill="1" applyBorder="1" applyAlignment="1">
      <alignment horizontal="left" vertical="center" wrapText="1"/>
    </xf>
    <xf numFmtId="0" fontId="15" fillId="8" borderId="11" xfId="1" quotePrefix="1" applyFont="1" applyFill="1" applyBorder="1" applyAlignment="1">
      <alignment horizontal="left" vertical="center" wrapText="1"/>
    </xf>
    <xf numFmtId="0" fontId="15" fillId="8" borderId="3" xfId="1" quotePrefix="1" applyFont="1" applyFill="1" applyBorder="1" applyAlignment="1">
      <alignment horizontal="left" vertical="center" wrapText="1"/>
    </xf>
    <xf numFmtId="0" fontId="12" fillId="8" borderId="4" xfId="1" applyFont="1" applyFill="1" applyBorder="1" applyAlignment="1">
      <alignment horizontal="left" wrapText="1"/>
    </xf>
    <xf numFmtId="0" fontId="12" fillId="8" borderId="11" xfId="1" applyFont="1" applyFill="1" applyBorder="1" applyAlignment="1">
      <alignment horizontal="left" wrapText="1"/>
    </xf>
    <xf numFmtId="0" fontId="12" fillId="8" borderId="11" xfId="1" applyFont="1" applyFill="1" applyBorder="1" applyAlignment="1">
      <alignment horizontal="right" vertical="top" wrapText="1"/>
    </xf>
    <xf numFmtId="0" fontId="12" fillId="8" borderId="3" xfId="1" applyFont="1" applyFill="1" applyBorder="1" applyAlignment="1">
      <alignment horizontal="right" vertical="top" wrapText="1"/>
    </xf>
    <xf numFmtId="0" fontId="12" fillId="8" borderId="35" xfId="1" applyFont="1" applyFill="1" applyBorder="1" applyAlignment="1">
      <alignment horizontal="center" vertical="center" wrapText="1"/>
    </xf>
    <xf numFmtId="0" fontId="12" fillId="8" borderId="33" xfId="1" applyFont="1" applyFill="1" applyBorder="1" applyAlignment="1">
      <alignment horizontal="center" vertical="center" wrapText="1"/>
    </xf>
    <xf numFmtId="0" fontId="12" fillId="8" borderId="32" xfId="1" applyFont="1" applyFill="1" applyBorder="1" applyAlignment="1">
      <alignment horizontal="center" vertical="center" wrapText="1"/>
    </xf>
    <xf numFmtId="0" fontId="12" fillId="8" borderId="27" xfId="1" applyFont="1" applyFill="1" applyBorder="1" applyAlignment="1">
      <alignment horizontal="center" vertical="center" wrapText="1"/>
    </xf>
    <xf numFmtId="0" fontId="12" fillId="8" borderId="26" xfId="1" applyFont="1" applyFill="1" applyBorder="1" applyAlignment="1">
      <alignment horizontal="center" vertical="center" wrapText="1"/>
    </xf>
    <xf numFmtId="0" fontId="7" fillId="0" borderId="31" xfId="1" applyFont="1" applyBorder="1" applyAlignment="1">
      <alignment horizontal="left"/>
    </xf>
    <xf numFmtId="0" fontId="7" fillId="0" borderId="28" xfId="1" applyFont="1" applyBorder="1" applyAlignment="1">
      <alignment horizontal="left"/>
    </xf>
    <xf numFmtId="0" fontId="3" fillId="8" borderId="29" xfId="1" applyFont="1" applyFill="1" applyBorder="1" applyAlignment="1">
      <alignment horizontal="center" vertical="center"/>
    </xf>
    <xf numFmtId="0" fontId="3" fillId="8" borderId="28" xfId="1" applyFont="1" applyFill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7" fillId="0" borderId="19" xfId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3" fillId="8" borderId="17" xfId="1" applyFont="1" applyFill="1" applyBorder="1" applyAlignment="1">
      <alignment horizontal="center" vertical="center"/>
    </xf>
    <xf numFmtId="0" fontId="3" fillId="8" borderId="16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 wrapText="1"/>
    </xf>
    <xf numFmtId="0" fontId="12" fillId="8" borderId="24" xfId="1" applyFont="1" applyFill="1" applyBorder="1" applyAlignment="1">
      <alignment horizontal="center" vertical="center" wrapText="1"/>
    </xf>
    <xf numFmtId="0" fontId="7" fillId="0" borderId="23" xfId="1" applyFont="1" applyBorder="1" applyAlignment="1">
      <alignment horizontal="left"/>
    </xf>
    <xf numFmtId="0" fontId="7" fillId="0" borderId="22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1" fillId="0" borderId="20" xfId="1" applyFont="1" applyBorder="1" applyAlignment="1">
      <alignment horizontal="left"/>
    </xf>
    <xf numFmtId="0" fontId="11" fillId="0" borderId="19" xfId="1" applyFont="1" applyBorder="1" applyAlignment="1">
      <alignment horizontal="left"/>
    </xf>
    <xf numFmtId="0" fontId="11" fillId="0" borderId="16" xfId="1" applyFont="1" applyBorder="1" applyAlignment="1">
      <alignment horizontal="left"/>
    </xf>
    <xf numFmtId="0" fontId="3" fillId="2" borderId="4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1" fillId="0" borderId="13" xfId="1" applyFont="1" applyBorder="1" applyAlignment="1">
      <alignment horizontal="left"/>
    </xf>
    <xf numFmtId="0" fontId="11" fillId="0" borderId="15" xfId="1" applyFont="1" applyBorder="1" applyAlignment="1">
      <alignment horizontal="left"/>
    </xf>
    <xf numFmtId="0" fontId="11" fillId="0" borderId="12" xfId="1" applyFont="1" applyBorder="1" applyAlignment="1">
      <alignment horizontal="left"/>
    </xf>
    <xf numFmtId="0" fontId="3" fillId="8" borderId="13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3" fontId="3" fillId="4" borderId="4" xfId="1" applyNumberFormat="1" applyFont="1" applyFill="1" applyBorder="1" applyAlignment="1">
      <alignment horizontal="center" vertical="center"/>
    </xf>
    <xf numFmtId="3" fontId="3" fillId="4" borderId="3" xfId="1" applyNumberFormat="1" applyFont="1" applyFill="1" applyBorder="1" applyAlignment="1">
      <alignment horizontal="center" vertical="center"/>
    </xf>
    <xf numFmtId="3" fontId="3" fillId="3" borderId="4" xfId="1" applyNumberFormat="1" applyFont="1" applyFill="1" applyBorder="1" applyAlignment="1">
      <alignment horizontal="center" vertical="center"/>
    </xf>
    <xf numFmtId="3" fontId="3" fillId="3" borderId="3" xfId="1" applyNumberFormat="1" applyFont="1" applyFill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8" fillId="8" borderId="4" xfId="1" applyFont="1" applyFill="1" applyBorder="1" applyAlignment="1">
      <alignment horizontal="center" vertical="center"/>
    </xf>
    <xf numFmtId="0" fontId="8" fillId="8" borderId="11" xfId="1" applyFont="1" applyFill="1" applyBorder="1" applyAlignment="1">
      <alignment horizontal="center" vertical="center"/>
    </xf>
    <xf numFmtId="0" fontId="8" fillId="8" borderId="3" xfId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center" vertical="center"/>
    </xf>
    <xf numFmtId="0" fontId="3" fillId="8" borderId="3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left" vertical="top"/>
    </xf>
    <xf numFmtId="0" fontId="6" fillId="0" borderId="9" xfId="1" applyFont="1" applyBorder="1" applyAlignment="1">
      <alignment horizontal="left" vertical="top"/>
    </xf>
    <xf numFmtId="0" fontId="6" fillId="0" borderId="8" xfId="1" applyFont="1" applyBorder="1" applyAlignment="1">
      <alignment horizontal="left" vertical="top"/>
    </xf>
    <xf numFmtId="0" fontId="6" fillId="0" borderId="5" xfId="1" applyFont="1" applyBorder="1" applyAlignment="1">
      <alignment horizontal="left" vertical="top"/>
    </xf>
    <xf numFmtId="0" fontId="6" fillId="0" borderId="2" xfId="1" applyFont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</cellXfs>
  <cellStyles count="3">
    <cellStyle name="Hyperlink" xfId="2" builtinId="8"/>
    <cellStyle name="Normal" xfId="0" builtinId="0"/>
    <cellStyle name="Normal 2" xfId="1" xr:uid="{01F03F17-1CB2-034E-823E-8EC3556693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f41d9e3d-0f3a-45af-b3f0-d6dd8d24858a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21167</xdr:colOff>
      <xdr:row>94</xdr:row>
      <xdr:rowOff>10583</xdr:rowOff>
    </xdr:from>
    <xdr:to>
      <xdr:col>4</xdr:col>
      <xdr:colOff>10583</xdr:colOff>
      <xdr:row>95</xdr:row>
      <xdr:rowOff>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FFEFBD2D-6D70-EF4B-BAD8-6340B11B60C7}"/>
            </a:ext>
          </a:extLst>
        </xdr:cNvPr>
        <xdr:cNvCxnSpPr/>
      </xdr:nvCxnSpPr>
      <xdr:spPr>
        <a:xfrm>
          <a:off x="21167" y="17917583"/>
          <a:ext cx="3291416" cy="17991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866354</xdr:rowOff>
    </xdr:from>
    <xdr:ext cx="2665659" cy="454179"/>
    <xdr:pic>
      <xdr:nvPicPr>
        <xdr:cNvPr id="3" name="Imagen 2" descr="1516295949998_PastedImage">
          <a:extLst>
            <a:ext uri="{FF2B5EF4-FFF2-40B4-BE49-F238E27FC236}">
              <a16:creationId xmlns:a16="http://schemas.microsoft.com/office/drawing/2014/main" id="{3390A6CB-E44B-2541-A9B1-D1C2F6472B1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254"/>
          <a:ext cx="2665659" cy="454179"/>
        </a:xfrm>
        <a:prstGeom prst="rect">
          <a:avLst/>
        </a:prstGeom>
        <a:noFill/>
        <a:ln>
          <a:noFill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673100</xdr:colOff>
          <xdr:row>0</xdr:row>
          <xdr:rowOff>38100</xdr:rowOff>
        </xdr:from>
        <xdr:to>
          <xdr:col>8</xdr:col>
          <xdr:colOff>660400</xdr:colOff>
          <xdr:row>0</xdr:row>
          <xdr:rowOff>431800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Montserrat"/>
                </a:rPr>
                <a:t>1. Generar/Validar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635000</xdr:colOff>
          <xdr:row>0</xdr:row>
          <xdr:rowOff>38100</xdr:rowOff>
        </xdr:from>
        <xdr:to>
          <xdr:col>14</xdr:col>
          <xdr:colOff>660400</xdr:colOff>
          <xdr:row>0</xdr:row>
          <xdr:rowOff>431800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Montserrat"/>
                </a:rPr>
                <a:t>2. Exportar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mailto:EDGARPP4@HOTMAIL.COM" TargetMode="External"/><Relationship Id="rId1" Type="http://schemas.openxmlformats.org/officeDocument/2006/relationships/hyperlink" Target="mailto:EDGARPP4@HOTMAIL.COM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5EA4-ACD8-6742-887A-1F7AFE99957B}">
  <sheetPr codeName="Hoja1"/>
  <dimension ref="A1:W120"/>
  <sheetViews>
    <sheetView showGridLines="0" tabSelected="1" topLeftCell="A12" zoomScale="70" zoomScaleNormal="70" workbookViewId="0">
      <selection activeCell="Y30" sqref="Y30"/>
    </sheetView>
  </sheetViews>
  <sheetFormatPr baseColWidth="10" defaultRowHeight="15" x14ac:dyDescent="0.2"/>
  <cols>
    <col min="1" max="1" width="13.6640625" style="1" customWidth="1"/>
    <col min="2" max="2" width="10.6640625" style="1" customWidth="1"/>
    <col min="3" max="4" width="12.6640625" style="1" customWidth="1"/>
    <col min="5" max="5" width="11.6640625" style="1" customWidth="1"/>
    <col min="6" max="6" width="10.6640625" style="1" customWidth="1"/>
    <col min="7" max="7" width="11.6640625" style="1" customWidth="1"/>
    <col min="8" max="8" width="10.6640625" style="1" customWidth="1"/>
    <col min="9" max="9" width="11.6640625" style="1" customWidth="1"/>
    <col min="10" max="10" width="10.6640625" style="1" customWidth="1"/>
    <col min="11" max="11" width="11.6640625" style="1" customWidth="1"/>
    <col min="12" max="12" width="10.6640625" style="1" customWidth="1"/>
    <col min="13" max="13" width="11.6640625" style="1" customWidth="1"/>
    <col min="14" max="14" width="10.6640625" style="1" customWidth="1"/>
    <col min="15" max="15" width="11.6640625" style="1" customWidth="1"/>
    <col min="16" max="16" width="10.6640625" style="1" customWidth="1"/>
    <col min="17" max="17" width="13.6640625" style="1" customWidth="1"/>
    <col min="18" max="21" width="9.6640625" style="1" customWidth="1"/>
    <col min="22" max="22" width="10.83203125" style="1"/>
    <col min="23" max="26" width="11.5" style="1" customWidth="1"/>
    <col min="27" max="16384" width="10.83203125" style="1"/>
  </cols>
  <sheetData>
    <row r="1" spans="1:21" ht="86.25" customHeight="1" x14ac:dyDescent="0.4">
      <c r="A1" s="130" t="s">
        <v>201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</row>
    <row r="2" spans="1:21" ht="20" customHeight="1" x14ac:dyDescent="0.2">
      <c r="A2" s="131" t="s">
        <v>200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</row>
    <row r="3" spans="1:21" ht="10" customHeight="1" thickBot="1" x14ac:dyDescent="0.25"/>
    <row r="4" spans="1:21" ht="25" customHeight="1" thickBot="1" x14ac:dyDescent="0.25">
      <c r="A4" s="132" t="s">
        <v>199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4"/>
    </row>
    <row r="5" spans="1:21" ht="5" customHeight="1" x14ac:dyDescent="0.2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</row>
    <row r="6" spans="1:21" ht="15" customHeight="1" x14ac:dyDescent="0.2">
      <c r="A6" s="135" t="s">
        <v>198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</row>
    <row r="7" spans="1:21" ht="10" customHeight="1" thickBot="1" x14ac:dyDescent="0.25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</row>
    <row r="8" spans="1:21" ht="24" customHeight="1" x14ac:dyDescent="0.2">
      <c r="A8" s="105" t="s">
        <v>197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7"/>
    </row>
    <row r="9" spans="1:21" ht="5" customHeight="1" x14ac:dyDescent="0.2">
      <c r="A9" s="70"/>
      <c r="C9" s="25"/>
      <c r="D9" s="25"/>
      <c r="E9" s="51"/>
      <c r="F9" s="51"/>
      <c r="G9" s="51"/>
      <c r="H9" s="51"/>
      <c r="I9" s="24"/>
      <c r="J9" s="24"/>
      <c r="K9" s="24"/>
      <c r="L9" s="24"/>
      <c r="M9" s="24"/>
      <c r="N9" s="24"/>
      <c r="O9" s="24"/>
      <c r="U9" s="23"/>
    </row>
    <row r="10" spans="1:21" ht="18" customHeight="1" x14ac:dyDescent="0.2">
      <c r="A10" s="136" t="s">
        <v>196</v>
      </c>
      <c r="B10" s="137"/>
      <c r="C10" s="138" t="s">
        <v>177</v>
      </c>
      <c r="D10" s="138"/>
      <c r="E10" s="138"/>
      <c r="F10" s="138"/>
      <c r="G10" s="138"/>
      <c r="H10" s="139" t="s">
        <v>195</v>
      </c>
      <c r="I10" s="139"/>
      <c r="J10" s="138">
        <v>10009519195</v>
      </c>
      <c r="K10" s="138"/>
      <c r="L10" s="138"/>
      <c r="M10" s="138"/>
      <c r="N10" s="139" t="s">
        <v>194</v>
      </c>
      <c r="O10" s="139"/>
      <c r="P10" s="140"/>
      <c r="Q10" s="140"/>
      <c r="R10" s="139" t="s">
        <v>193</v>
      </c>
      <c r="S10" s="139"/>
      <c r="T10" s="141"/>
      <c r="U10" s="142"/>
    </row>
    <row r="11" spans="1:21" ht="18" customHeight="1" x14ac:dyDescent="0.2">
      <c r="A11" s="136" t="s">
        <v>192</v>
      </c>
      <c r="B11" s="137"/>
      <c r="C11" s="138" t="s">
        <v>191</v>
      </c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9" t="s">
        <v>190</v>
      </c>
      <c r="S11" s="139"/>
      <c r="T11" s="143"/>
      <c r="U11" s="144"/>
    </row>
    <row r="12" spans="1:21" ht="18" customHeight="1" x14ac:dyDescent="0.2">
      <c r="A12" s="136" t="s">
        <v>189</v>
      </c>
      <c r="B12" s="137"/>
      <c r="C12" s="145" t="s">
        <v>188</v>
      </c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6"/>
    </row>
    <row r="13" spans="1:21" ht="18" customHeight="1" x14ac:dyDescent="0.2">
      <c r="A13" s="136" t="s">
        <v>187</v>
      </c>
      <c r="B13" s="137"/>
      <c r="C13" s="138" t="s">
        <v>186</v>
      </c>
      <c r="D13" s="138"/>
      <c r="E13" s="138"/>
      <c r="F13" s="139" t="s">
        <v>185</v>
      </c>
      <c r="G13" s="139"/>
      <c r="H13" s="138" t="s">
        <v>183</v>
      </c>
      <c r="I13" s="138"/>
      <c r="J13" s="139" t="s">
        <v>184</v>
      </c>
      <c r="K13" s="139"/>
      <c r="L13" s="138" t="s">
        <v>183</v>
      </c>
      <c r="M13" s="138"/>
      <c r="N13" s="138"/>
      <c r="O13" s="138"/>
      <c r="P13" s="138"/>
      <c r="Q13" s="138"/>
      <c r="R13" s="138"/>
      <c r="S13" s="138"/>
      <c r="T13" s="138"/>
      <c r="U13" s="147"/>
    </row>
    <row r="14" spans="1:21" ht="18" customHeight="1" x14ac:dyDescent="0.2">
      <c r="A14" s="136" t="s">
        <v>176</v>
      </c>
      <c r="B14" s="137"/>
      <c r="C14" s="138">
        <v>951638535</v>
      </c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9" t="s">
        <v>182</v>
      </c>
      <c r="O14" s="139"/>
      <c r="P14" s="139"/>
      <c r="Q14" s="159"/>
      <c r="R14" s="159"/>
      <c r="S14" s="159"/>
      <c r="T14" s="159"/>
      <c r="U14" s="160"/>
    </row>
    <row r="15" spans="1:21" ht="18" customHeight="1" x14ac:dyDescent="0.2">
      <c r="A15" s="136" t="s">
        <v>181</v>
      </c>
      <c r="B15" s="137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39" t="s">
        <v>180</v>
      </c>
      <c r="O15" s="139"/>
      <c r="P15" s="139"/>
      <c r="Q15" s="148" t="s">
        <v>174</v>
      </c>
      <c r="R15" s="148"/>
      <c r="S15" s="148"/>
      <c r="T15" s="148"/>
      <c r="U15" s="149"/>
    </row>
    <row r="16" spans="1:21" ht="18" customHeight="1" x14ac:dyDescent="0.2">
      <c r="A16" s="155" t="s">
        <v>179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7"/>
    </row>
    <row r="17" spans="1:23" ht="18" customHeight="1" x14ac:dyDescent="0.2">
      <c r="A17" s="102" t="s">
        <v>178</v>
      </c>
      <c r="B17" s="103"/>
      <c r="C17" s="104" t="s">
        <v>177</v>
      </c>
      <c r="D17" s="104"/>
      <c r="E17" s="104"/>
      <c r="F17" s="104"/>
      <c r="G17" s="104"/>
      <c r="H17" s="104"/>
      <c r="I17" s="104"/>
      <c r="J17" s="139" t="s">
        <v>176</v>
      </c>
      <c r="K17" s="139"/>
      <c r="L17" s="158">
        <v>951638535</v>
      </c>
      <c r="M17" s="158"/>
      <c r="N17" s="139" t="s">
        <v>175</v>
      </c>
      <c r="O17" s="139"/>
      <c r="P17" s="148" t="s">
        <v>174</v>
      </c>
      <c r="Q17" s="148"/>
      <c r="R17" s="148"/>
      <c r="S17" s="148"/>
      <c r="T17" s="148"/>
      <c r="U17" s="149"/>
    </row>
    <row r="18" spans="1:23" ht="18" customHeight="1" x14ac:dyDescent="0.2">
      <c r="A18" s="155" t="s">
        <v>173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7"/>
    </row>
    <row r="19" spans="1:23" ht="18" customHeight="1" thickBot="1" x14ac:dyDescent="0.25">
      <c r="A19" s="150" t="s">
        <v>172</v>
      </c>
      <c r="B19" s="151"/>
      <c r="C19" s="152"/>
      <c r="D19" s="152"/>
      <c r="E19" s="152"/>
      <c r="F19" s="152"/>
      <c r="G19" s="152"/>
      <c r="H19" s="152"/>
      <c r="I19" s="152"/>
      <c r="J19" s="87" t="s">
        <v>171</v>
      </c>
      <c r="K19" s="86"/>
      <c r="L19" s="85"/>
      <c r="M19" s="153"/>
      <c r="N19" s="153"/>
      <c r="O19" s="153"/>
      <c r="P19" s="153"/>
      <c r="Q19" s="153"/>
      <c r="R19" s="153"/>
      <c r="S19" s="153"/>
      <c r="T19" s="153"/>
      <c r="U19" s="154"/>
    </row>
    <row r="20" spans="1:23" ht="10" customHeight="1" thickBot="1" x14ac:dyDescent="0.35">
      <c r="E20" s="84"/>
      <c r="F20" s="84"/>
      <c r="G20" s="84"/>
      <c r="H20" s="84"/>
      <c r="I20" s="24"/>
      <c r="J20" s="24"/>
      <c r="K20" s="24"/>
      <c r="L20" s="24"/>
      <c r="N20" s="24"/>
      <c r="O20" s="24"/>
      <c r="P20" s="24"/>
    </row>
    <row r="21" spans="1:23" ht="24" customHeight="1" x14ac:dyDescent="0.2">
      <c r="A21" s="105" t="s">
        <v>170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7"/>
    </row>
    <row r="22" spans="1:23" ht="5" customHeight="1" x14ac:dyDescent="0.2">
      <c r="A22" s="70"/>
      <c r="C22" s="25"/>
      <c r="D22" s="25"/>
      <c r="E22" s="52"/>
      <c r="F22" s="52"/>
      <c r="G22" s="51"/>
      <c r="H22" s="51"/>
      <c r="I22" s="51"/>
      <c r="J22" s="24"/>
      <c r="K22" s="24"/>
      <c r="L22" s="24"/>
      <c r="M22" s="24"/>
      <c r="N22" s="24"/>
      <c r="O22" s="24"/>
      <c r="S22" s="23"/>
    </row>
    <row r="23" spans="1:23" ht="18" customHeight="1" x14ac:dyDescent="0.2">
      <c r="A23" s="108" t="s">
        <v>169</v>
      </c>
      <c r="B23" s="109"/>
      <c r="C23" s="110"/>
      <c r="D23" s="114" t="s">
        <v>168</v>
      </c>
      <c r="E23" s="115"/>
      <c r="F23" s="115"/>
      <c r="G23" s="115"/>
      <c r="H23" s="115"/>
      <c r="I23" s="116"/>
      <c r="J23" s="114" t="s">
        <v>167</v>
      </c>
      <c r="K23" s="115"/>
      <c r="L23" s="115"/>
      <c r="M23" s="115"/>
      <c r="N23" s="115"/>
      <c r="O23" s="116"/>
      <c r="P23" s="120" t="s">
        <v>166</v>
      </c>
      <c r="Q23" s="121"/>
      <c r="R23" s="121"/>
      <c r="S23" s="122"/>
    </row>
    <row r="24" spans="1:23" ht="18" customHeight="1" thickBot="1" x14ac:dyDescent="0.25">
      <c r="A24" s="108"/>
      <c r="B24" s="109"/>
      <c r="C24" s="110"/>
      <c r="D24" s="117"/>
      <c r="E24" s="118"/>
      <c r="F24" s="118"/>
      <c r="G24" s="118"/>
      <c r="H24" s="118"/>
      <c r="I24" s="119"/>
      <c r="J24" s="117"/>
      <c r="K24" s="118"/>
      <c r="L24" s="118"/>
      <c r="M24" s="118"/>
      <c r="N24" s="118"/>
      <c r="O24" s="119"/>
      <c r="P24" s="120"/>
      <c r="Q24" s="121"/>
      <c r="R24" s="121"/>
      <c r="S24" s="122"/>
    </row>
    <row r="25" spans="1:23" ht="18" customHeight="1" thickBot="1" x14ac:dyDescent="0.25">
      <c r="A25" s="108"/>
      <c r="B25" s="109"/>
      <c r="C25" s="110"/>
      <c r="D25" s="123" t="s">
        <v>165</v>
      </c>
      <c r="E25" s="124"/>
      <c r="F25" s="124"/>
      <c r="G25" s="125"/>
      <c r="H25" s="123" t="s">
        <v>164</v>
      </c>
      <c r="I25" s="125"/>
      <c r="J25" s="123" t="s">
        <v>163</v>
      </c>
      <c r="K25" s="125"/>
      <c r="L25" s="123" t="s">
        <v>162</v>
      </c>
      <c r="M25" s="125"/>
      <c r="N25" s="123" t="s">
        <v>161</v>
      </c>
      <c r="O25" s="125"/>
      <c r="P25" s="120"/>
      <c r="Q25" s="121"/>
      <c r="R25" s="121"/>
      <c r="S25" s="122"/>
    </row>
    <row r="26" spans="1:23" ht="18" customHeight="1" thickBot="1" x14ac:dyDescent="0.25">
      <c r="A26" s="108"/>
      <c r="B26" s="109"/>
      <c r="C26" s="110"/>
      <c r="D26" s="161" t="s">
        <v>160</v>
      </c>
      <c r="E26" s="162"/>
      <c r="F26" s="161" t="s">
        <v>159</v>
      </c>
      <c r="G26" s="162"/>
      <c r="H26" s="120"/>
      <c r="I26" s="122"/>
      <c r="J26" s="120"/>
      <c r="K26" s="122"/>
      <c r="L26" s="120"/>
      <c r="M26" s="122"/>
      <c r="N26" s="120"/>
      <c r="O26" s="122"/>
      <c r="P26" s="161" t="s">
        <v>160</v>
      </c>
      <c r="Q26" s="162"/>
      <c r="R26" s="161" t="s">
        <v>159</v>
      </c>
      <c r="S26" s="162"/>
    </row>
    <row r="27" spans="1:23" ht="18" customHeight="1" thickBot="1" x14ac:dyDescent="0.25">
      <c r="A27" s="111"/>
      <c r="B27" s="112"/>
      <c r="C27" s="113"/>
      <c r="D27" s="100">
        <v>1</v>
      </c>
      <c r="E27" s="101"/>
      <c r="F27" s="100">
        <v>2</v>
      </c>
      <c r="G27" s="101"/>
      <c r="H27" s="100">
        <v>3</v>
      </c>
      <c r="I27" s="101"/>
      <c r="J27" s="100">
        <v>4</v>
      </c>
      <c r="K27" s="101"/>
      <c r="L27" s="100">
        <v>5</v>
      </c>
      <c r="M27" s="101"/>
      <c r="N27" s="100">
        <v>6</v>
      </c>
      <c r="O27" s="101"/>
      <c r="P27" s="100"/>
      <c r="Q27" s="101"/>
      <c r="R27" s="100"/>
      <c r="S27" s="101"/>
    </row>
    <row r="28" spans="1:23" ht="22" customHeight="1" x14ac:dyDescent="0.2">
      <c r="A28" s="163" t="s">
        <v>158</v>
      </c>
      <c r="B28" s="164"/>
      <c r="C28" s="165"/>
      <c r="D28" s="126"/>
      <c r="E28" s="127"/>
      <c r="F28" s="166"/>
      <c r="G28" s="167"/>
      <c r="H28" s="126"/>
      <c r="I28" s="168"/>
      <c r="J28" s="126"/>
      <c r="K28" s="127"/>
      <c r="L28" s="126"/>
      <c r="M28" s="127"/>
      <c r="N28" s="126"/>
      <c r="O28" s="127"/>
      <c r="P28" s="128"/>
      <c r="Q28" s="129"/>
      <c r="R28" s="128"/>
      <c r="S28" s="129"/>
      <c r="W28" s="83"/>
    </row>
    <row r="29" spans="1:23" ht="22" customHeight="1" x14ac:dyDescent="0.2">
      <c r="A29" s="171" t="s">
        <v>157</v>
      </c>
      <c r="B29" s="172"/>
      <c r="C29" s="173"/>
      <c r="D29" s="174"/>
      <c r="E29" s="175"/>
      <c r="F29" s="181"/>
      <c r="G29" s="182"/>
      <c r="H29" s="174"/>
      <c r="I29" s="178"/>
      <c r="J29" s="174"/>
      <c r="K29" s="175"/>
      <c r="L29" s="174"/>
      <c r="M29" s="175"/>
      <c r="N29" s="174"/>
      <c r="O29" s="175"/>
      <c r="P29" s="169"/>
      <c r="Q29" s="170"/>
      <c r="R29" s="169"/>
      <c r="S29" s="170"/>
    </row>
    <row r="30" spans="1:23" ht="22" customHeight="1" x14ac:dyDescent="0.2">
      <c r="A30" s="171" t="s">
        <v>156</v>
      </c>
      <c r="B30" s="172"/>
      <c r="C30" s="173"/>
      <c r="D30" s="174"/>
      <c r="E30" s="175"/>
      <c r="F30" s="176"/>
      <c r="G30" s="177"/>
      <c r="H30" s="174"/>
      <c r="I30" s="178"/>
      <c r="J30" s="174"/>
      <c r="K30" s="175"/>
      <c r="L30" s="174"/>
      <c r="M30" s="175"/>
      <c r="N30" s="174"/>
      <c r="O30" s="175"/>
      <c r="P30" s="169"/>
      <c r="Q30" s="170"/>
      <c r="R30" s="179"/>
      <c r="S30" s="180"/>
    </row>
    <row r="31" spans="1:23" ht="22" customHeight="1" thickBot="1" x14ac:dyDescent="0.25">
      <c r="A31" s="171" t="s">
        <v>155</v>
      </c>
      <c r="B31" s="172"/>
      <c r="C31" s="173"/>
      <c r="D31" s="174"/>
      <c r="E31" s="175"/>
      <c r="F31" s="181"/>
      <c r="G31" s="182"/>
      <c r="H31" s="174"/>
      <c r="I31" s="178"/>
      <c r="J31" s="174"/>
      <c r="K31" s="175"/>
      <c r="L31" s="174"/>
      <c r="M31" s="175"/>
      <c r="N31" s="174"/>
      <c r="O31" s="175"/>
      <c r="P31" s="169"/>
      <c r="Q31" s="170"/>
      <c r="R31" s="169"/>
      <c r="S31" s="170"/>
      <c r="U31" s="82">
        <v>31</v>
      </c>
    </row>
    <row r="32" spans="1:23" ht="22" customHeight="1" x14ac:dyDescent="0.2">
      <c r="A32" s="171" t="s">
        <v>154</v>
      </c>
      <c r="B32" s="172"/>
      <c r="C32" s="173"/>
      <c r="D32" s="174"/>
      <c r="E32" s="175"/>
      <c r="F32" s="181"/>
      <c r="G32" s="182"/>
      <c r="H32" s="174"/>
      <c r="I32" s="178"/>
      <c r="J32" s="174"/>
      <c r="K32" s="175"/>
      <c r="L32" s="174"/>
      <c r="M32" s="175"/>
      <c r="N32" s="174"/>
      <c r="O32" s="175"/>
      <c r="P32" s="169"/>
      <c r="Q32" s="170"/>
      <c r="R32" s="169"/>
      <c r="S32" s="170"/>
      <c r="T32" s="81" t="s">
        <v>153</v>
      </c>
      <c r="U32" s="80">
        <f>IFERROR(L34/(SUM(D34:G34)*U31)*100,0)</f>
        <v>0</v>
      </c>
    </row>
    <row r="33" spans="1:21" ht="22" customHeight="1" thickBot="1" x14ac:dyDescent="0.25">
      <c r="A33" s="187" t="s">
        <v>152</v>
      </c>
      <c r="B33" s="188"/>
      <c r="C33" s="189"/>
      <c r="D33" s="183"/>
      <c r="E33" s="184"/>
      <c r="F33" s="190"/>
      <c r="G33" s="191"/>
      <c r="H33" s="192"/>
      <c r="I33" s="193"/>
      <c r="J33" s="183"/>
      <c r="K33" s="184"/>
      <c r="L33" s="183"/>
      <c r="M33" s="184"/>
      <c r="N33" s="183"/>
      <c r="O33" s="184"/>
      <c r="P33" s="169"/>
      <c r="Q33" s="170"/>
      <c r="R33" s="169"/>
      <c r="S33" s="170"/>
      <c r="T33" s="79" t="s">
        <v>151</v>
      </c>
      <c r="U33" s="78">
        <f>IFERROR(N34/(H34*U31)*100,0)</f>
        <v>0</v>
      </c>
    </row>
    <row r="34" spans="1:21" ht="22" customHeight="1" thickBot="1" x14ac:dyDescent="0.25">
      <c r="A34" s="210" t="s">
        <v>12</v>
      </c>
      <c r="B34" s="211"/>
      <c r="C34" s="212"/>
      <c r="D34" s="213">
        <f>SUM(D28:E33)</f>
        <v>0</v>
      </c>
      <c r="E34" s="214"/>
      <c r="F34" s="213">
        <f>SUM(F28:G33)</f>
        <v>0</v>
      </c>
      <c r="G34" s="214"/>
      <c r="H34" s="213">
        <f>SUM(H28:I33)</f>
        <v>0</v>
      </c>
      <c r="I34" s="214"/>
      <c r="J34" s="215">
        <f>SUM(J28:K33)</f>
        <v>0</v>
      </c>
      <c r="K34" s="216"/>
      <c r="L34" s="217">
        <f>SUM(L28:M33)</f>
        <v>0</v>
      </c>
      <c r="M34" s="218"/>
      <c r="N34" s="194">
        <f>SUM(N28:O33)</f>
        <v>0</v>
      </c>
      <c r="O34" s="195"/>
      <c r="P34" s="196"/>
      <c r="Q34" s="197"/>
      <c r="R34" s="196"/>
      <c r="S34" s="197"/>
      <c r="T34" s="77" t="s">
        <v>150</v>
      </c>
      <c r="U34" s="76">
        <f>IFERROR(N34/J34,0)</f>
        <v>0</v>
      </c>
    </row>
    <row r="35" spans="1:21" ht="10" customHeight="1" thickBot="1" x14ac:dyDescent="0.25"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/>
      <c r="P35" s="74"/>
      <c r="Q35" s="73"/>
    </row>
    <row r="36" spans="1:21" ht="24" customHeight="1" x14ac:dyDescent="0.2">
      <c r="A36" s="22" t="s">
        <v>149</v>
      </c>
      <c r="B36" s="55"/>
      <c r="C36" s="21" t="s">
        <v>148</v>
      </c>
      <c r="D36" s="21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1"/>
      <c r="R36" s="55"/>
      <c r="S36" s="54"/>
    </row>
    <row r="37" spans="1:21" ht="5" customHeight="1" x14ac:dyDescent="0.2">
      <c r="A37" s="70"/>
      <c r="C37" s="25"/>
      <c r="D37" s="25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8"/>
      <c r="S37" s="23"/>
    </row>
    <row r="38" spans="1:21" ht="16" customHeight="1" thickBot="1" x14ac:dyDescent="0.25">
      <c r="A38" s="227" t="s">
        <v>147</v>
      </c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9"/>
    </row>
    <row r="39" spans="1:21" ht="5" customHeight="1" x14ac:dyDescent="0.2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</row>
    <row r="40" spans="1:21" ht="22" customHeight="1" x14ac:dyDescent="0.2">
      <c r="B40" s="65" t="s">
        <v>146</v>
      </c>
      <c r="C40" s="64">
        <v>0</v>
      </c>
      <c r="D40" s="65" t="s">
        <v>145</v>
      </c>
      <c r="E40" s="64">
        <v>0</v>
      </c>
      <c r="F40" s="65" t="s">
        <v>144</v>
      </c>
      <c r="G40" s="64">
        <v>0</v>
      </c>
      <c r="H40" s="65" t="s">
        <v>143</v>
      </c>
      <c r="I40" s="64">
        <v>0</v>
      </c>
      <c r="J40" s="65" t="s">
        <v>142</v>
      </c>
      <c r="K40" s="64">
        <v>0</v>
      </c>
      <c r="L40" s="65" t="s">
        <v>141</v>
      </c>
      <c r="M40" s="64">
        <v>0</v>
      </c>
      <c r="N40" s="65" t="s">
        <v>140</v>
      </c>
      <c r="O40" s="64">
        <v>0</v>
      </c>
      <c r="P40" s="65" t="s">
        <v>139</v>
      </c>
      <c r="Q40" s="64">
        <v>0</v>
      </c>
    </row>
    <row r="41" spans="1:21" ht="22" customHeight="1" x14ac:dyDescent="0.2">
      <c r="B41" s="65" t="s">
        <v>138</v>
      </c>
      <c r="C41" s="64">
        <v>0</v>
      </c>
      <c r="D41" s="65" t="s">
        <v>137</v>
      </c>
      <c r="E41" s="64">
        <v>0</v>
      </c>
      <c r="F41" s="65" t="s">
        <v>136</v>
      </c>
      <c r="G41" s="64">
        <v>0</v>
      </c>
      <c r="H41" s="65" t="s">
        <v>135</v>
      </c>
      <c r="I41" s="64">
        <v>0</v>
      </c>
      <c r="J41" s="65" t="s">
        <v>134</v>
      </c>
      <c r="K41" s="64">
        <v>0</v>
      </c>
      <c r="L41" s="65" t="s">
        <v>133</v>
      </c>
      <c r="M41" s="64">
        <v>0</v>
      </c>
      <c r="N41" s="65" t="s">
        <v>132</v>
      </c>
      <c r="O41" s="64">
        <v>0</v>
      </c>
      <c r="P41" s="65" t="s">
        <v>131</v>
      </c>
      <c r="Q41" s="64">
        <v>0</v>
      </c>
    </row>
    <row r="42" spans="1:21" ht="22" customHeight="1" thickBot="1" x14ac:dyDescent="0.25">
      <c r="B42" s="65" t="s">
        <v>130</v>
      </c>
      <c r="C42" s="64">
        <v>0</v>
      </c>
      <c r="D42" s="65" t="s">
        <v>129</v>
      </c>
      <c r="E42" s="64">
        <v>0</v>
      </c>
      <c r="F42" s="65" t="s">
        <v>128</v>
      </c>
      <c r="G42" s="64">
        <v>0</v>
      </c>
      <c r="H42" s="65" t="s">
        <v>127</v>
      </c>
      <c r="I42" s="64">
        <v>0</v>
      </c>
      <c r="J42" s="65" t="s">
        <v>126</v>
      </c>
      <c r="K42" s="64">
        <v>0</v>
      </c>
      <c r="L42" s="65" t="s">
        <v>125</v>
      </c>
      <c r="M42" s="64">
        <v>0</v>
      </c>
      <c r="N42" s="65" t="s">
        <v>124</v>
      </c>
      <c r="O42" s="64">
        <v>0</v>
      </c>
      <c r="P42" s="65" t="s">
        <v>123</v>
      </c>
      <c r="Q42" s="66">
        <v>0</v>
      </c>
    </row>
    <row r="43" spans="1:21" ht="22" customHeight="1" thickBot="1" x14ac:dyDescent="0.25">
      <c r="B43" s="65" t="s">
        <v>122</v>
      </c>
      <c r="C43" s="64">
        <v>0</v>
      </c>
      <c r="D43" s="65" t="s">
        <v>121</v>
      </c>
      <c r="E43" s="64">
        <v>0</v>
      </c>
      <c r="F43" s="65" t="s">
        <v>120</v>
      </c>
      <c r="G43" s="64">
        <v>0</v>
      </c>
      <c r="H43" s="65" t="s">
        <v>119</v>
      </c>
      <c r="I43" s="64">
        <v>0</v>
      </c>
      <c r="J43" s="65" t="s">
        <v>118</v>
      </c>
      <c r="K43" s="64">
        <v>0</v>
      </c>
      <c r="L43" s="65" t="s">
        <v>117</v>
      </c>
      <c r="M43" s="64">
        <v>0</v>
      </c>
      <c r="N43" s="65" t="s">
        <v>116</v>
      </c>
      <c r="O43" s="64">
        <v>0</v>
      </c>
      <c r="P43" s="63" t="s">
        <v>12</v>
      </c>
      <c r="Q43" s="10">
        <v>0</v>
      </c>
    </row>
    <row r="44" spans="1:21" ht="5" customHeight="1" x14ac:dyDescent="0.2">
      <c r="B44" s="62"/>
      <c r="C44" s="61"/>
      <c r="D44" s="62"/>
      <c r="E44" s="61"/>
      <c r="F44" s="62"/>
      <c r="G44" s="61"/>
      <c r="H44" s="62"/>
      <c r="I44" s="61"/>
      <c r="J44" s="62"/>
      <c r="K44" s="61"/>
      <c r="L44" s="62"/>
      <c r="M44" s="61"/>
      <c r="N44" s="62"/>
      <c r="O44" s="61"/>
      <c r="P44" s="61"/>
      <c r="Q44" s="61"/>
      <c r="R44" s="61"/>
    </row>
    <row r="45" spans="1:21" ht="5" customHeight="1" thickBot="1" x14ac:dyDescent="0.25">
      <c r="I45" s="60"/>
      <c r="J45" s="60"/>
      <c r="K45" s="24"/>
      <c r="L45" s="24"/>
      <c r="M45" s="24"/>
      <c r="N45" s="48"/>
      <c r="O45" s="49"/>
      <c r="P45" s="48"/>
      <c r="Q45" s="47"/>
    </row>
    <row r="46" spans="1:21" ht="24" customHeight="1" x14ac:dyDescent="0.2">
      <c r="A46" s="43" t="s">
        <v>115</v>
      </c>
      <c r="B46" s="19"/>
      <c r="C46" s="21" t="s">
        <v>114</v>
      </c>
      <c r="D46" s="21"/>
      <c r="E46" s="59"/>
      <c r="F46" s="59"/>
      <c r="G46" s="59"/>
      <c r="H46" s="59"/>
      <c r="I46" s="20"/>
      <c r="J46" s="20"/>
      <c r="K46" s="20"/>
      <c r="L46" s="20"/>
      <c r="M46" s="20"/>
      <c r="N46" s="57"/>
      <c r="O46" s="58"/>
      <c r="P46" s="57"/>
      <c r="Q46" s="56"/>
      <c r="R46" s="55"/>
      <c r="S46" s="54"/>
    </row>
    <row r="47" spans="1:21" ht="5" customHeight="1" thickBot="1" x14ac:dyDescent="0.25">
      <c r="A47" s="34"/>
      <c r="B47" s="53"/>
      <c r="C47" s="25"/>
      <c r="D47" s="25"/>
      <c r="E47" s="52"/>
      <c r="F47" s="52"/>
      <c r="G47" s="52"/>
      <c r="H47" s="52"/>
      <c r="I47" s="51"/>
      <c r="J47" s="51"/>
      <c r="K47" s="51"/>
      <c r="L47" s="51"/>
      <c r="M47" s="51"/>
      <c r="N47" s="50"/>
      <c r="O47" s="49"/>
      <c r="P47" s="48"/>
      <c r="Q47" s="47"/>
    </row>
    <row r="48" spans="1:21" ht="30" customHeight="1" thickBot="1" x14ac:dyDescent="0.25">
      <c r="B48" s="230" t="s">
        <v>113</v>
      </c>
      <c r="C48" s="234" t="s">
        <v>112</v>
      </c>
      <c r="D48" s="235"/>
      <c r="E48" s="236" t="s">
        <v>109</v>
      </c>
      <c r="F48" s="237"/>
      <c r="G48" s="236" t="s">
        <v>108</v>
      </c>
      <c r="H48" s="237"/>
      <c r="K48" s="230" t="s">
        <v>111</v>
      </c>
      <c r="L48" s="210" t="s">
        <v>110</v>
      </c>
      <c r="M48" s="212"/>
      <c r="N48" s="236" t="s">
        <v>109</v>
      </c>
      <c r="O48" s="237"/>
      <c r="P48" s="236" t="s">
        <v>108</v>
      </c>
      <c r="Q48" s="237"/>
    </row>
    <row r="49" spans="2:17" ht="19" customHeight="1" x14ac:dyDescent="0.2">
      <c r="B49" s="231"/>
      <c r="C49" s="185" t="s">
        <v>107</v>
      </c>
      <c r="D49" s="186"/>
      <c r="E49" s="198">
        <v>0</v>
      </c>
      <c r="F49" s="199"/>
      <c r="G49" s="198">
        <v>0</v>
      </c>
      <c r="H49" s="199"/>
      <c r="K49" s="232"/>
      <c r="L49" s="200" t="s">
        <v>106</v>
      </c>
      <c r="M49" s="201"/>
      <c r="N49" s="204">
        <v>0</v>
      </c>
      <c r="O49" s="205"/>
      <c r="P49" s="204">
        <v>0</v>
      </c>
      <c r="Q49" s="205"/>
    </row>
    <row r="50" spans="2:17" ht="19" customHeight="1" x14ac:dyDescent="0.2">
      <c r="B50" s="231"/>
      <c r="C50" s="90" t="s">
        <v>105</v>
      </c>
      <c r="D50" s="91"/>
      <c r="E50" s="208">
        <v>0</v>
      </c>
      <c r="F50" s="209"/>
      <c r="G50" s="208">
        <v>0</v>
      </c>
      <c r="H50" s="209"/>
      <c r="K50" s="232"/>
      <c r="L50" s="202"/>
      <c r="M50" s="203"/>
      <c r="N50" s="206"/>
      <c r="O50" s="207"/>
      <c r="P50" s="206"/>
      <c r="Q50" s="207"/>
    </row>
    <row r="51" spans="2:17" ht="19" customHeight="1" x14ac:dyDescent="0.2">
      <c r="B51" s="231"/>
      <c r="C51" s="92" t="s">
        <v>104</v>
      </c>
      <c r="D51" s="93"/>
      <c r="E51" s="208">
        <v>0</v>
      </c>
      <c r="F51" s="209"/>
      <c r="G51" s="208">
        <v>0</v>
      </c>
      <c r="H51" s="209"/>
      <c r="K51" s="232"/>
      <c r="L51" s="221" t="s">
        <v>103</v>
      </c>
      <c r="M51" s="222"/>
      <c r="N51" s="225">
        <v>0</v>
      </c>
      <c r="O51" s="226"/>
      <c r="P51" s="225">
        <v>0</v>
      </c>
      <c r="Q51" s="226"/>
    </row>
    <row r="52" spans="2:17" ht="19" customHeight="1" x14ac:dyDescent="0.2">
      <c r="B52" s="231"/>
      <c r="C52" s="90" t="s">
        <v>102</v>
      </c>
      <c r="D52" s="91"/>
      <c r="E52" s="208">
        <v>0</v>
      </c>
      <c r="F52" s="209"/>
      <c r="G52" s="208">
        <v>0</v>
      </c>
      <c r="H52" s="209"/>
      <c r="K52" s="232"/>
      <c r="L52" s="223"/>
      <c r="M52" s="224"/>
      <c r="N52" s="206"/>
      <c r="O52" s="207"/>
      <c r="P52" s="206"/>
      <c r="Q52" s="207"/>
    </row>
    <row r="53" spans="2:17" ht="19" customHeight="1" x14ac:dyDescent="0.2">
      <c r="B53" s="231"/>
      <c r="C53" s="90" t="s">
        <v>101</v>
      </c>
      <c r="D53" s="91"/>
      <c r="E53" s="208">
        <v>0</v>
      </c>
      <c r="F53" s="209"/>
      <c r="G53" s="208">
        <v>0</v>
      </c>
      <c r="H53" s="209"/>
      <c r="K53" s="232"/>
      <c r="L53" s="219" t="s">
        <v>100</v>
      </c>
      <c r="M53" s="220"/>
      <c r="N53" s="208">
        <v>0</v>
      </c>
      <c r="O53" s="209"/>
      <c r="P53" s="208">
        <v>0</v>
      </c>
      <c r="Q53" s="209"/>
    </row>
    <row r="54" spans="2:17" ht="19" customHeight="1" x14ac:dyDescent="0.2">
      <c r="B54" s="231"/>
      <c r="C54" s="90" t="s">
        <v>99</v>
      </c>
      <c r="D54" s="91"/>
      <c r="E54" s="208">
        <v>0</v>
      </c>
      <c r="F54" s="209"/>
      <c r="G54" s="208">
        <v>0</v>
      </c>
      <c r="H54" s="209"/>
      <c r="K54" s="232"/>
      <c r="L54" s="219" t="s">
        <v>98</v>
      </c>
      <c r="M54" s="220"/>
      <c r="N54" s="208">
        <v>0</v>
      </c>
      <c r="O54" s="209"/>
      <c r="P54" s="208">
        <v>0</v>
      </c>
      <c r="Q54" s="209"/>
    </row>
    <row r="55" spans="2:17" ht="19" customHeight="1" x14ac:dyDescent="0.2">
      <c r="B55" s="231"/>
      <c r="C55" s="90" t="s">
        <v>97</v>
      </c>
      <c r="D55" s="91"/>
      <c r="E55" s="208">
        <v>0</v>
      </c>
      <c r="F55" s="209"/>
      <c r="G55" s="208">
        <v>0</v>
      </c>
      <c r="H55" s="209"/>
      <c r="K55" s="232"/>
      <c r="L55" s="219" t="s">
        <v>96</v>
      </c>
      <c r="M55" s="220"/>
      <c r="N55" s="208">
        <v>0</v>
      </c>
      <c r="O55" s="209"/>
      <c r="P55" s="208">
        <v>0</v>
      </c>
      <c r="Q55" s="209"/>
    </row>
    <row r="56" spans="2:17" ht="19" customHeight="1" x14ac:dyDescent="0.2">
      <c r="B56" s="231"/>
      <c r="C56" s="90" t="s">
        <v>95</v>
      </c>
      <c r="D56" s="91"/>
      <c r="E56" s="208">
        <v>0</v>
      </c>
      <c r="F56" s="209"/>
      <c r="G56" s="208">
        <v>0</v>
      </c>
      <c r="H56" s="209"/>
      <c r="K56" s="232"/>
      <c r="L56" s="219" t="s">
        <v>94</v>
      </c>
      <c r="M56" s="220"/>
      <c r="N56" s="208">
        <v>0</v>
      </c>
      <c r="O56" s="209"/>
      <c r="P56" s="208">
        <v>0</v>
      </c>
      <c r="Q56" s="209"/>
    </row>
    <row r="57" spans="2:17" ht="19" customHeight="1" x14ac:dyDescent="0.2">
      <c r="B57" s="231"/>
      <c r="C57" s="92" t="s">
        <v>93</v>
      </c>
      <c r="D57" s="93"/>
      <c r="E57" s="208">
        <v>0</v>
      </c>
      <c r="F57" s="209"/>
      <c r="G57" s="208">
        <v>0</v>
      </c>
      <c r="H57" s="209"/>
      <c r="K57" s="232"/>
      <c r="L57" s="219" t="s">
        <v>92</v>
      </c>
      <c r="M57" s="220"/>
      <c r="N57" s="208">
        <v>0</v>
      </c>
      <c r="O57" s="209"/>
      <c r="P57" s="208">
        <v>0</v>
      </c>
      <c r="Q57" s="209"/>
    </row>
    <row r="58" spans="2:17" ht="19" customHeight="1" x14ac:dyDescent="0.2">
      <c r="B58" s="231"/>
      <c r="C58" s="90" t="s">
        <v>91</v>
      </c>
      <c r="D58" s="91"/>
      <c r="E58" s="208">
        <v>0</v>
      </c>
      <c r="F58" s="209"/>
      <c r="G58" s="208">
        <v>0</v>
      </c>
      <c r="H58" s="209"/>
      <c r="K58" s="232"/>
      <c r="L58" s="219" t="s">
        <v>90</v>
      </c>
      <c r="M58" s="220"/>
      <c r="N58" s="208">
        <v>0</v>
      </c>
      <c r="O58" s="209"/>
      <c r="P58" s="208">
        <v>0</v>
      </c>
      <c r="Q58" s="209"/>
    </row>
    <row r="59" spans="2:17" ht="19" customHeight="1" x14ac:dyDescent="0.2">
      <c r="B59" s="231"/>
      <c r="C59" s="90" t="s">
        <v>89</v>
      </c>
      <c r="D59" s="91"/>
      <c r="E59" s="208">
        <v>0</v>
      </c>
      <c r="F59" s="209"/>
      <c r="G59" s="208">
        <v>0</v>
      </c>
      <c r="H59" s="209"/>
      <c r="K59" s="232"/>
      <c r="L59" s="219" t="s">
        <v>88</v>
      </c>
      <c r="M59" s="220"/>
      <c r="N59" s="208">
        <v>0</v>
      </c>
      <c r="O59" s="209"/>
      <c r="P59" s="208">
        <v>0</v>
      </c>
      <c r="Q59" s="209"/>
    </row>
    <row r="60" spans="2:17" ht="19" customHeight="1" x14ac:dyDescent="0.2">
      <c r="B60" s="231"/>
      <c r="C60" s="90" t="s">
        <v>87</v>
      </c>
      <c r="D60" s="91"/>
      <c r="E60" s="208">
        <v>0</v>
      </c>
      <c r="F60" s="209"/>
      <c r="G60" s="208">
        <v>0</v>
      </c>
      <c r="H60" s="209"/>
      <c r="K60" s="232"/>
      <c r="L60" s="219" t="s">
        <v>86</v>
      </c>
      <c r="M60" s="220"/>
      <c r="N60" s="208">
        <v>0</v>
      </c>
      <c r="O60" s="209"/>
      <c r="P60" s="208">
        <v>0</v>
      </c>
      <c r="Q60" s="209"/>
    </row>
    <row r="61" spans="2:17" ht="19" customHeight="1" x14ac:dyDescent="0.2">
      <c r="B61" s="231"/>
      <c r="C61" s="90" t="s">
        <v>85</v>
      </c>
      <c r="D61" s="91"/>
      <c r="E61" s="208">
        <v>0</v>
      </c>
      <c r="F61" s="209"/>
      <c r="G61" s="208">
        <v>0</v>
      </c>
      <c r="H61" s="209"/>
      <c r="K61" s="232"/>
      <c r="L61" s="219" t="s">
        <v>84</v>
      </c>
      <c r="M61" s="220"/>
      <c r="N61" s="208">
        <v>0</v>
      </c>
      <c r="O61" s="209"/>
      <c r="P61" s="208">
        <v>0</v>
      </c>
      <c r="Q61" s="209"/>
    </row>
    <row r="62" spans="2:17" ht="19" customHeight="1" x14ac:dyDescent="0.2">
      <c r="B62" s="231"/>
      <c r="C62" s="90" t="s">
        <v>83</v>
      </c>
      <c r="D62" s="91"/>
      <c r="E62" s="208">
        <v>0</v>
      </c>
      <c r="F62" s="209"/>
      <c r="G62" s="208">
        <v>0</v>
      </c>
      <c r="H62" s="209"/>
      <c r="K62" s="232"/>
      <c r="L62" s="219" t="s">
        <v>82</v>
      </c>
      <c r="M62" s="220"/>
      <c r="N62" s="208">
        <v>0</v>
      </c>
      <c r="O62" s="209"/>
      <c r="P62" s="208">
        <v>0</v>
      </c>
      <c r="Q62" s="209"/>
    </row>
    <row r="63" spans="2:17" ht="19" customHeight="1" x14ac:dyDescent="0.2">
      <c r="B63" s="231"/>
      <c r="C63" s="90" t="s">
        <v>81</v>
      </c>
      <c r="D63" s="91"/>
      <c r="E63" s="208">
        <v>0</v>
      </c>
      <c r="F63" s="209"/>
      <c r="G63" s="208">
        <v>0</v>
      </c>
      <c r="H63" s="209"/>
      <c r="K63" s="232"/>
      <c r="L63" s="219" t="s">
        <v>80</v>
      </c>
      <c r="M63" s="220"/>
      <c r="N63" s="208">
        <v>0</v>
      </c>
      <c r="O63" s="209"/>
      <c r="P63" s="208">
        <v>0</v>
      </c>
      <c r="Q63" s="209"/>
    </row>
    <row r="64" spans="2:17" ht="19" customHeight="1" x14ac:dyDescent="0.2">
      <c r="B64" s="231"/>
      <c r="C64" s="92" t="s">
        <v>79</v>
      </c>
      <c r="D64" s="93"/>
      <c r="E64" s="208">
        <v>0</v>
      </c>
      <c r="F64" s="209"/>
      <c r="G64" s="208">
        <v>0</v>
      </c>
      <c r="H64" s="209"/>
      <c r="K64" s="232"/>
      <c r="L64" s="219" t="s">
        <v>78</v>
      </c>
      <c r="M64" s="220"/>
      <c r="N64" s="208">
        <v>0</v>
      </c>
      <c r="O64" s="209"/>
      <c r="P64" s="208">
        <v>0</v>
      </c>
      <c r="Q64" s="209"/>
    </row>
    <row r="65" spans="2:17" ht="19" customHeight="1" x14ac:dyDescent="0.2">
      <c r="B65" s="231"/>
      <c r="C65" s="90" t="s">
        <v>77</v>
      </c>
      <c r="D65" s="91"/>
      <c r="E65" s="208">
        <v>0</v>
      </c>
      <c r="F65" s="209"/>
      <c r="G65" s="208">
        <v>0</v>
      </c>
      <c r="H65" s="209"/>
      <c r="K65" s="232"/>
      <c r="L65" s="219" t="s">
        <v>76</v>
      </c>
      <c r="M65" s="220"/>
      <c r="N65" s="208">
        <v>0</v>
      </c>
      <c r="O65" s="209"/>
      <c r="P65" s="208">
        <v>0</v>
      </c>
      <c r="Q65" s="209"/>
    </row>
    <row r="66" spans="2:17" ht="19" customHeight="1" x14ac:dyDescent="0.2">
      <c r="B66" s="231"/>
      <c r="C66" s="90" t="s">
        <v>75</v>
      </c>
      <c r="D66" s="91"/>
      <c r="E66" s="208">
        <v>0</v>
      </c>
      <c r="F66" s="209"/>
      <c r="G66" s="208">
        <v>0</v>
      </c>
      <c r="H66" s="209"/>
      <c r="K66" s="232"/>
      <c r="L66" s="219" t="s">
        <v>74</v>
      </c>
      <c r="M66" s="220"/>
      <c r="N66" s="208">
        <v>0</v>
      </c>
      <c r="O66" s="209"/>
      <c r="P66" s="208">
        <v>0</v>
      </c>
      <c r="Q66" s="209"/>
    </row>
    <row r="67" spans="2:17" ht="19" customHeight="1" x14ac:dyDescent="0.2">
      <c r="B67" s="231"/>
      <c r="C67" s="90" t="s">
        <v>73</v>
      </c>
      <c r="D67" s="91"/>
      <c r="E67" s="208">
        <v>0</v>
      </c>
      <c r="F67" s="209"/>
      <c r="G67" s="208">
        <v>0</v>
      </c>
      <c r="H67" s="209"/>
      <c r="K67" s="232"/>
      <c r="L67" s="219" t="s">
        <v>72</v>
      </c>
      <c r="M67" s="220"/>
      <c r="N67" s="208">
        <v>0</v>
      </c>
      <c r="O67" s="209"/>
      <c r="P67" s="208">
        <v>0</v>
      </c>
      <c r="Q67" s="209"/>
    </row>
    <row r="68" spans="2:17" ht="19" customHeight="1" x14ac:dyDescent="0.2">
      <c r="B68" s="231"/>
      <c r="C68" s="90" t="s">
        <v>71</v>
      </c>
      <c r="D68" s="91"/>
      <c r="E68" s="208">
        <v>0</v>
      </c>
      <c r="F68" s="209"/>
      <c r="G68" s="208">
        <v>0</v>
      </c>
      <c r="H68" s="209"/>
      <c r="K68" s="232"/>
      <c r="L68" s="219" t="s">
        <v>70</v>
      </c>
      <c r="M68" s="220"/>
      <c r="N68" s="208">
        <v>0</v>
      </c>
      <c r="O68" s="209"/>
      <c r="P68" s="208">
        <v>0</v>
      </c>
      <c r="Q68" s="209"/>
    </row>
    <row r="69" spans="2:17" ht="19" customHeight="1" x14ac:dyDescent="0.2">
      <c r="B69" s="231"/>
      <c r="C69" s="90" t="s">
        <v>69</v>
      </c>
      <c r="D69" s="91"/>
      <c r="E69" s="208">
        <v>0</v>
      </c>
      <c r="F69" s="209"/>
      <c r="G69" s="208">
        <v>0</v>
      </c>
      <c r="H69" s="209"/>
      <c r="K69" s="232"/>
      <c r="L69" s="219" t="s">
        <v>68</v>
      </c>
      <c r="M69" s="220"/>
      <c r="N69" s="208">
        <v>0</v>
      </c>
      <c r="O69" s="209"/>
      <c r="P69" s="208">
        <v>0</v>
      </c>
      <c r="Q69" s="209"/>
    </row>
    <row r="70" spans="2:17" ht="19" customHeight="1" x14ac:dyDescent="0.2">
      <c r="B70" s="231"/>
      <c r="C70" s="92" t="s">
        <v>67</v>
      </c>
      <c r="D70" s="93"/>
      <c r="E70" s="208">
        <v>0</v>
      </c>
      <c r="F70" s="209"/>
      <c r="G70" s="208">
        <v>0</v>
      </c>
      <c r="H70" s="209"/>
      <c r="K70" s="232"/>
      <c r="L70" s="219" t="s">
        <v>66</v>
      </c>
      <c r="M70" s="220"/>
      <c r="N70" s="208">
        <v>0</v>
      </c>
      <c r="O70" s="209"/>
      <c r="P70" s="208">
        <v>0</v>
      </c>
      <c r="Q70" s="209"/>
    </row>
    <row r="71" spans="2:17" ht="19" customHeight="1" x14ac:dyDescent="0.2">
      <c r="B71" s="231"/>
      <c r="C71" s="98" t="s">
        <v>65</v>
      </c>
      <c r="D71" s="99"/>
      <c r="E71" s="208">
        <v>0</v>
      </c>
      <c r="F71" s="209"/>
      <c r="G71" s="208">
        <v>0</v>
      </c>
      <c r="H71" s="209"/>
      <c r="K71" s="232"/>
      <c r="L71" s="219" t="s">
        <v>64</v>
      </c>
      <c r="M71" s="220"/>
      <c r="N71" s="208">
        <v>0</v>
      </c>
      <c r="O71" s="209"/>
      <c r="P71" s="208">
        <v>0</v>
      </c>
      <c r="Q71" s="209"/>
    </row>
    <row r="72" spans="2:17" ht="19" customHeight="1" x14ac:dyDescent="0.2">
      <c r="B72" s="231"/>
      <c r="C72" s="92" t="s">
        <v>63</v>
      </c>
      <c r="D72" s="93"/>
      <c r="E72" s="208">
        <v>0</v>
      </c>
      <c r="F72" s="209"/>
      <c r="G72" s="208">
        <v>0</v>
      </c>
      <c r="H72" s="209"/>
      <c r="K72" s="232"/>
      <c r="L72" s="219" t="s">
        <v>62</v>
      </c>
      <c r="M72" s="220"/>
      <c r="N72" s="208">
        <v>0</v>
      </c>
      <c r="O72" s="209"/>
      <c r="P72" s="208">
        <v>0</v>
      </c>
      <c r="Q72" s="209"/>
    </row>
    <row r="73" spans="2:17" ht="19" customHeight="1" x14ac:dyDescent="0.2">
      <c r="B73" s="231"/>
      <c r="C73" s="92" t="s">
        <v>61</v>
      </c>
      <c r="D73" s="93"/>
      <c r="E73" s="208">
        <v>0</v>
      </c>
      <c r="F73" s="209"/>
      <c r="G73" s="208">
        <v>0</v>
      </c>
      <c r="H73" s="209"/>
      <c r="K73" s="232"/>
      <c r="L73" s="219" t="s">
        <v>60</v>
      </c>
      <c r="M73" s="220"/>
      <c r="N73" s="208">
        <v>0</v>
      </c>
      <c r="O73" s="209"/>
      <c r="P73" s="208">
        <v>0</v>
      </c>
      <c r="Q73" s="209"/>
    </row>
    <row r="74" spans="2:17" ht="19" customHeight="1" x14ac:dyDescent="0.2">
      <c r="B74" s="231"/>
      <c r="C74" s="92" t="s">
        <v>59</v>
      </c>
      <c r="D74" s="93"/>
      <c r="E74" s="208">
        <v>0</v>
      </c>
      <c r="F74" s="209"/>
      <c r="G74" s="208">
        <v>0</v>
      </c>
      <c r="H74" s="209"/>
      <c r="K74" s="232"/>
      <c r="L74" s="219" t="s">
        <v>58</v>
      </c>
      <c r="M74" s="220"/>
      <c r="N74" s="208">
        <v>0</v>
      </c>
      <c r="O74" s="209"/>
      <c r="P74" s="208">
        <v>0</v>
      </c>
      <c r="Q74" s="209"/>
    </row>
    <row r="75" spans="2:17" ht="19" customHeight="1" thickBot="1" x14ac:dyDescent="0.25">
      <c r="B75" s="231"/>
      <c r="C75" s="90" t="s">
        <v>57</v>
      </c>
      <c r="D75" s="91"/>
      <c r="E75" s="208">
        <v>0</v>
      </c>
      <c r="F75" s="209"/>
      <c r="G75" s="208">
        <v>0</v>
      </c>
      <c r="H75" s="209"/>
      <c r="K75" s="232"/>
      <c r="L75" s="219" t="s">
        <v>56</v>
      </c>
      <c r="M75" s="220"/>
      <c r="N75" s="183">
        <v>0</v>
      </c>
      <c r="O75" s="238"/>
      <c r="P75" s="208">
        <v>0</v>
      </c>
      <c r="Q75" s="209"/>
    </row>
    <row r="76" spans="2:17" ht="19" customHeight="1" x14ac:dyDescent="0.2">
      <c r="B76" s="231"/>
      <c r="C76" s="90" t="s">
        <v>55</v>
      </c>
      <c r="D76" s="91"/>
      <c r="E76" s="208">
        <v>0</v>
      </c>
      <c r="F76" s="209"/>
      <c r="G76" s="208">
        <v>0</v>
      </c>
      <c r="H76" s="209"/>
      <c r="K76" s="232"/>
      <c r="L76" s="239" t="s">
        <v>54</v>
      </c>
      <c r="M76" s="240"/>
      <c r="N76" s="243">
        <v>0</v>
      </c>
      <c r="O76" s="244"/>
      <c r="P76" s="247">
        <v>0</v>
      </c>
      <c r="Q76" s="248"/>
    </row>
    <row r="77" spans="2:17" ht="19" customHeight="1" thickBot="1" x14ac:dyDescent="0.25">
      <c r="B77" s="231"/>
      <c r="C77" s="96" t="s">
        <v>53</v>
      </c>
      <c r="D77" s="97"/>
      <c r="E77" s="251">
        <v>0</v>
      </c>
      <c r="F77" s="252"/>
      <c r="G77" s="251">
        <v>0</v>
      </c>
      <c r="H77" s="252"/>
      <c r="K77" s="233"/>
      <c r="L77" s="241"/>
      <c r="M77" s="242"/>
      <c r="N77" s="245"/>
      <c r="O77" s="246"/>
      <c r="P77" s="249"/>
      <c r="Q77" s="250"/>
    </row>
    <row r="78" spans="2:17" ht="19" customHeight="1" thickBot="1" x14ac:dyDescent="0.25">
      <c r="B78" s="231"/>
      <c r="C78" s="96" t="s">
        <v>52</v>
      </c>
      <c r="D78" s="97"/>
      <c r="E78" s="251">
        <v>0</v>
      </c>
      <c r="F78" s="252"/>
      <c r="G78" s="251">
        <v>0</v>
      </c>
      <c r="H78" s="252"/>
    </row>
    <row r="79" spans="2:17" ht="19" customHeight="1" x14ac:dyDescent="0.2">
      <c r="B79" s="231"/>
      <c r="C79" s="96" t="s">
        <v>51</v>
      </c>
      <c r="D79" s="97"/>
      <c r="E79" s="253">
        <v>0</v>
      </c>
      <c r="F79" s="254"/>
      <c r="G79" s="253">
        <v>0</v>
      </c>
      <c r="H79" s="254"/>
      <c r="K79" s="255" t="s">
        <v>50</v>
      </c>
      <c r="L79" s="256"/>
      <c r="M79" s="257"/>
      <c r="N79" s="261">
        <f>+E82+N76</f>
        <v>0</v>
      </c>
      <c r="O79" s="262"/>
      <c r="P79" s="265">
        <f>+G82+P76</f>
        <v>0</v>
      </c>
      <c r="Q79" s="266"/>
    </row>
    <row r="80" spans="2:17" ht="19" customHeight="1" thickBot="1" x14ac:dyDescent="0.25">
      <c r="B80" s="231"/>
      <c r="C80" s="96" t="s">
        <v>49</v>
      </c>
      <c r="D80" s="97"/>
      <c r="E80" s="253">
        <v>0</v>
      </c>
      <c r="F80" s="254"/>
      <c r="G80" s="253">
        <v>0</v>
      </c>
      <c r="H80" s="254"/>
      <c r="K80" s="258"/>
      <c r="L80" s="259"/>
      <c r="M80" s="260"/>
      <c r="N80" s="263"/>
      <c r="O80" s="264"/>
      <c r="P80" s="267"/>
      <c r="Q80" s="268"/>
    </row>
    <row r="81" spans="1:21" ht="19" customHeight="1" thickBot="1" x14ac:dyDescent="0.25">
      <c r="B81" s="231"/>
      <c r="C81" s="94" t="s">
        <v>48</v>
      </c>
      <c r="D81" s="95"/>
      <c r="E81" s="269">
        <v>0</v>
      </c>
      <c r="F81" s="270"/>
      <c r="G81" s="269">
        <v>0</v>
      </c>
      <c r="H81" s="270"/>
      <c r="L81" s="28"/>
      <c r="M81" s="44"/>
      <c r="N81" s="44"/>
    </row>
    <row r="82" spans="1:21" ht="15.75" customHeight="1" x14ac:dyDescent="0.2">
      <c r="B82" s="232"/>
      <c r="C82" s="277" t="s">
        <v>47</v>
      </c>
      <c r="D82" s="278"/>
      <c r="E82" s="279">
        <v>0</v>
      </c>
      <c r="F82" s="280"/>
      <c r="G82" s="247">
        <v>0</v>
      </c>
      <c r="H82" s="248"/>
      <c r="N82" s="28"/>
      <c r="O82" s="44"/>
      <c r="P82" s="44"/>
    </row>
    <row r="83" spans="1:21" ht="16" thickBot="1" x14ac:dyDescent="0.25">
      <c r="B83" s="233"/>
      <c r="C83" s="241"/>
      <c r="D83" s="242"/>
      <c r="E83" s="281"/>
      <c r="F83" s="282"/>
      <c r="G83" s="249"/>
      <c r="H83" s="250"/>
      <c r="O83" s="44"/>
      <c r="P83" s="44"/>
    </row>
    <row r="84" spans="1:21" ht="10" customHeight="1" thickBot="1" x14ac:dyDescent="0.25">
      <c r="A84" s="46"/>
      <c r="B84" s="46"/>
      <c r="C84" s="46"/>
      <c r="D84" s="46"/>
      <c r="E84" s="45"/>
      <c r="F84" s="45"/>
      <c r="G84" s="28"/>
      <c r="H84" s="28"/>
      <c r="N84" s="28"/>
      <c r="O84" s="44"/>
      <c r="P84" s="44"/>
    </row>
    <row r="85" spans="1:21" ht="24" customHeight="1" x14ac:dyDescent="0.2">
      <c r="A85" s="43" t="s">
        <v>46</v>
      </c>
      <c r="B85" s="39"/>
      <c r="C85" s="42" t="s">
        <v>45</v>
      </c>
      <c r="D85" s="42"/>
      <c r="E85" s="41"/>
      <c r="F85" s="41"/>
      <c r="G85" s="40"/>
      <c r="H85" s="40"/>
      <c r="I85" s="39"/>
      <c r="J85" s="39"/>
      <c r="K85" s="39"/>
      <c r="L85" s="39"/>
      <c r="M85" s="39"/>
      <c r="N85" s="40"/>
      <c r="O85" s="40"/>
      <c r="P85" s="40"/>
      <c r="Q85" s="40"/>
      <c r="R85" s="39"/>
      <c r="S85" s="39"/>
      <c r="T85" s="39"/>
      <c r="U85" s="38"/>
    </row>
    <row r="86" spans="1:21" ht="5" customHeight="1" thickBot="1" x14ac:dyDescent="0.25">
      <c r="A86" s="37"/>
      <c r="B86" s="33"/>
      <c r="C86" s="36"/>
      <c r="D86" s="36"/>
      <c r="E86" s="35"/>
      <c r="F86" s="35"/>
      <c r="G86" s="34"/>
      <c r="H86" s="34"/>
      <c r="I86" s="33"/>
      <c r="J86" s="33"/>
      <c r="K86" s="33"/>
      <c r="L86" s="33"/>
      <c r="M86" s="33"/>
      <c r="N86" s="34"/>
      <c r="O86" s="34"/>
      <c r="P86" s="34"/>
      <c r="Q86" s="34"/>
      <c r="R86" s="33"/>
      <c r="S86" s="33"/>
      <c r="T86" s="33"/>
      <c r="U86" s="32"/>
    </row>
    <row r="87" spans="1:21" ht="43" customHeight="1" thickBot="1" x14ac:dyDescent="0.25">
      <c r="A87" s="29" t="s">
        <v>44</v>
      </c>
      <c r="B87" s="283" t="s">
        <v>43</v>
      </c>
      <c r="C87" s="284"/>
      <c r="D87" s="271" t="s">
        <v>42</v>
      </c>
      <c r="E87" s="272"/>
      <c r="F87" s="271" t="s">
        <v>41</v>
      </c>
      <c r="G87" s="272"/>
      <c r="H87" s="271" t="s">
        <v>40</v>
      </c>
      <c r="I87" s="272"/>
      <c r="J87" s="271" t="s">
        <v>39</v>
      </c>
      <c r="K87" s="272"/>
      <c r="L87" s="271" t="s">
        <v>38</v>
      </c>
      <c r="M87" s="272"/>
      <c r="N87" s="271" t="s">
        <v>37</v>
      </c>
      <c r="O87" s="272"/>
      <c r="P87" s="271" t="s">
        <v>36</v>
      </c>
      <c r="Q87" s="272"/>
      <c r="R87" s="271" t="s">
        <v>35</v>
      </c>
      <c r="S87" s="272"/>
      <c r="T87" s="271" t="s">
        <v>34</v>
      </c>
      <c r="U87" s="272"/>
    </row>
    <row r="88" spans="1:21" ht="24" customHeight="1" x14ac:dyDescent="0.2">
      <c r="A88" s="31" t="s">
        <v>33</v>
      </c>
      <c r="B88" s="273">
        <v>0</v>
      </c>
      <c r="C88" s="274"/>
      <c r="D88" s="275">
        <v>0</v>
      </c>
      <c r="E88" s="276"/>
      <c r="F88" s="276">
        <v>0</v>
      </c>
      <c r="G88" s="276"/>
      <c r="H88" s="276">
        <v>0</v>
      </c>
      <c r="I88" s="276"/>
      <c r="J88" s="276">
        <v>0</v>
      </c>
      <c r="K88" s="276"/>
      <c r="L88" s="276">
        <v>0</v>
      </c>
      <c r="M88" s="276"/>
      <c r="N88" s="276">
        <v>0</v>
      </c>
      <c r="O88" s="276"/>
      <c r="P88" s="276">
        <v>0</v>
      </c>
      <c r="Q88" s="276"/>
      <c r="R88" s="276">
        <v>0</v>
      </c>
      <c r="S88" s="276"/>
      <c r="T88" s="276">
        <v>0</v>
      </c>
      <c r="U88" s="167"/>
    </row>
    <row r="89" spans="1:21" ht="24" customHeight="1" thickBot="1" x14ac:dyDescent="0.25">
      <c r="A89" s="30" t="s">
        <v>32</v>
      </c>
      <c r="B89" s="291">
        <v>0</v>
      </c>
      <c r="C89" s="292"/>
      <c r="D89" s="293">
        <v>0</v>
      </c>
      <c r="E89" s="285"/>
      <c r="F89" s="285">
        <v>0</v>
      </c>
      <c r="G89" s="285"/>
      <c r="H89" s="285">
        <v>0</v>
      </c>
      <c r="I89" s="285"/>
      <c r="J89" s="285">
        <v>0</v>
      </c>
      <c r="K89" s="285"/>
      <c r="L89" s="285">
        <v>0</v>
      </c>
      <c r="M89" s="285"/>
      <c r="N89" s="285">
        <v>0</v>
      </c>
      <c r="O89" s="285"/>
      <c r="P89" s="285">
        <v>0</v>
      </c>
      <c r="Q89" s="285"/>
      <c r="R89" s="285">
        <v>0</v>
      </c>
      <c r="S89" s="285"/>
      <c r="T89" s="285">
        <v>0</v>
      </c>
      <c r="U89" s="191"/>
    </row>
    <row r="90" spans="1:21" ht="22" customHeight="1" thickBot="1" x14ac:dyDescent="0.25">
      <c r="A90" s="29" t="s">
        <v>12</v>
      </c>
      <c r="B90" s="215">
        <v>0</v>
      </c>
      <c r="C90" s="216"/>
      <c r="D90" s="288">
        <v>0</v>
      </c>
      <c r="E90" s="289"/>
      <c r="F90" s="290">
        <v>0</v>
      </c>
      <c r="G90" s="289"/>
      <c r="H90" s="290">
        <v>0</v>
      </c>
      <c r="I90" s="289"/>
      <c r="J90" s="290">
        <v>0</v>
      </c>
      <c r="K90" s="289"/>
      <c r="L90" s="290">
        <v>0</v>
      </c>
      <c r="M90" s="289"/>
      <c r="N90" s="290">
        <v>0</v>
      </c>
      <c r="O90" s="289"/>
      <c r="P90" s="290">
        <v>0</v>
      </c>
      <c r="Q90" s="289"/>
      <c r="R90" s="290">
        <v>0</v>
      </c>
      <c r="S90" s="289"/>
      <c r="T90" s="290">
        <v>0</v>
      </c>
      <c r="U90" s="250"/>
    </row>
    <row r="91" spans="1:21" ht="27.75" customHeight="1" thickBot="1" x14ac:dyDescent="0.25">
      <c r="A91" s="294" t="s">
        <v>31</v>
      </c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6"/>
    </row>
    <row r="92" spans="1:21" ht="10" customHeight="1" thickBot="1" x14ac:dyDescent="0.25">
      <c r="G92" s="28"/>
      <c r="H92" s="28"/>
      <c r="I92" s="28"/>
      <c r="J92" s="28"/>
      <c r="K92" s="16"/>
      <c r="L92" s="16"/>
      <c r="M92" s="27"/>
      <c r="N92" s="27"/>
      <c r="P92" s="16"/>
    </row>
    <row r="93" spans="1:21" ht="24" customHeight="1" x14ac:dyDescent="0.2">
      <c r="A93" s="22" t="s">
        <v>30</v>
      </c>
      <c r="B93" s="19"/>
      <c r="C93" s="21" t="s">
        <v>29</v>
      </c>
      <c r="D93" s="21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19"/>
      <c r="Q93" s="19"/>
      <c r="R93" s="19"/>
      <c r="S93" s="19"/>
      <c r="T93" s="18"/>
    </row>
    <row r="94" spans="1:21" ht="5" customHeight="1" thickBot="1" x14ac:dyDescent="0.35">
      <c r="A94" s="26"/>
      <c r="C94" s="25"/>
      <c r="D94" s="25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T94" s="23"/>
    </row>
    <row r="95" spans="1:21" ht="29.25" customHeight="1" thickBot="1" x14ac:dyDescent="0.25">
      <c r="A95" s="297" t="s">
        <v>28</v>
      </c>
      <c r="B95" s="298"/>
      <c r="C95" s="299" t="s">
        <v>27</v>
      </c>
      <c r="D95" s="300"/>
      <c r="E95" s="236" t="s">
        <v>26</v>
      </c>
      <c r="F95" s="237"/>
      <c r="G95" s="236" t="s">
        <v>25</v>
      </c>
      <c r="H95" s="301"/>
      <c r="I95" s="286" t="s">
        <v>24</v>
      </c>
      <c r="J95" s="287"/>
      <c r="K95" s="286" t="s">
        <v>23</v>
      </c>
      <c r="L95" s="287"/>
      <c r="M95" s="286" t="s">
        <v>22</v>
      </c>
      <c r="N95" s="287"/>
      <c r="O95" s="286" t="s">
        <v>21</v>
      </c>
      <c r="P95" s="287"/>
      <c r="Q95" s="286" t="s">
        <v>20</v>
      </c>
      <c r="R95" s="287"/>
      <c r="S95" s="286" t="s">
        <v>19</v>
      </c>
      <c r="T95" s="212"/>
    </row>
    <row r="96" spans="1:21" ht="18" customHeight="1" x14ac:dyDescent="0.2">
      <c r="A96" s="302" t="s">
        <v>18</v>
      </c>
      <c r="B96" s="303"/>
      <c r="C96" s="306" t="s">
        <v>16</v>
      </c>
      <c r="D96" s="307"/>
      <c r="E96" s="308">
        <f>+SUM(G96:T96)</f>
        <v>0</v>
      </c>
      <c r="F96" s="309"/>
      <c r="G96" s="310"/>
      <c r="H96" s="311"/>
      <c r="I96" s="310"/>
      <c r="J96" s="311"/>
      <c r="K96" s="310"/>
      <c r="L96" s="311"/>
      <c r="M96" s="310"/>
      <c r="N96" s="311"/>
      <c r="O96" s="310"/>
      <c r="P96" s="311"/>
      <c r="Q96" s="310"/>
      <c r="R96" s="311"/>
      <c r="S96" s="310"/>
      <c r="T96" s="312"/>
    </row>
    <row r="97" spans="1:20" ht="18" customHeight="1" x14ac:dyDescent="0.2">
      <c r="A97" s="304"/>
      <c r="B97" s="305"/>
      <c r="C97" s="313" t="s">
        <v>15</v>
      </c>
      <c r="D97" s="314"/>
      <c r="E97" s="315">
        <f>+SUM(G97:T97)</f>
        <v>0</v>
      </c>
      <c r="F97" s="316"/>
      <c r="G97" s="317"/>
      <c r="H97" s="318"/>
      <c r="I97" s="317"/>
      <c r="J97" s="318"/>
      <c r="K97" s="317"/>
      <c r="L97" s="318"/>
      <c r="M97" s="317"/>
      <c r="N97" s="318"/>
      <c r="O97" s="317"/>
      <c r="P97" s="318"/>
      <c r="Q97" s="317"/>
      <c r="R97" s="318"/>
      <c r="S97" s="317"/>
      <c r="T97" s="319"/>
    </row>
    <row r="98" spans="1:20" ht="18" customHeight="1" x14ac:dyDescent="0.2">
      <c r="A98" s="304" t="s">
        <v>17</v>
      </c>
      <c r="B98" s="305"/>
      <c r="C98" s="313" t="s">
        <v>16</v>
      </c>
      <c r="D98" s="314"/>
      <c r="E98" s="315">
        <f>+SUM(G98:T98)</f>
        <v>0</v>
      </c>
      <c r="F98" s="316"/>
      <c r="G98" s="317"/>
      <c r="H98" s="318"/>
      <c r="I98" s="317"/>
      <c r="J98" s="318"/>
      <c r="K98" s="317"/>
      <c r="L98" s="318"/>
      <c r="M98" s="317"/>
      <c r="N98" s="318"/>
      <c r="O98" s="317"/>
      <c r="P98" s="318"/>
      <c r="Q98" s="317"/>
      <c r="R98" s="318"/>
      <c r="S98" s="317"/>
      <c r="T98" s="319"/>
    </row>
    <row r="99" spans="1:20" ht="18" customHeight="1" thickBot="1" x14ac:dyDescent="0.25">
      <c r="A99" s="320"/>
      <c r="B99" s="321"/>
      <c r="C99" s="322" t="s">
        <v>15</v>
      </c>
      <c r="D99" s="323"/>
      <c r="E99" s="315">
        <f>+SUM(G99:T99)</f>
        <v>0</v>
      </c>
      <c r="F99" s="316"/>
      <c r="G99" s="317"/>
      <c r="H99" s="318"/>
      <c r="I99" s="317"/>
      <c r="J99" s="318"/>
      <c r="K99" s="317"/>
      <c r="L99" s="318"/>
      <c r="M99" s="317"/>
      <c r="N99" s="318"/>
      <c r="O99" s="317"/>
      <c r="P99" s="318"/>
      <c r="Q99" s="317"/>
      <c r="R99" s="318"/>
      <c r="S99" s="317"/>
      <c r="T99" s="319"/>
    </row>
    <row r="100" spans="1:20" ht="18" customHeight="1" x14ac:dyDescent="0.2">
      <c r="A100" s="324" t="s">
        <v>14</v>
      </c>
      <c r="B100" s="325"/>
      <c r="C100" s="326"/>
      <c r="D100" s="327"/>
      <c r="E100" s="315">
        <v>0</v>
      </c>
      <c r="F100" s="316"/>
      <c r="G100" s="317">
        <v>0</v>
      </c>
      <c r="H100" s="318"/>
      <c r="I100" s="317">
        <v>0</v>
      </c>
      <c r="J100" s="318"/>
      <c r="K100" s="317"/>
      <c r="L100" s="318"/>
      <c r="M100" s="317"/>
      <c r="N100" s="318"/>
      <c r="O100" s="317"/>
      <c r="P100" s="318"/>
      <c r="Q100" s="317"/>
      <c r="R100" s="318"/>
      <c r="S100" s="317"/>
      <c r="T100" s="319"/>
    </row>
    <row r="101" spans="1:20" ht="18" customHeight="1" thickBot="1" x14ac:dyDescent="0.25">
      <c r="A101" s="330" t="s">
        <v>13</v>
      </c>
      <c r="B101" s="331"/>
      <c r="C101" s="331"/>
      <c r="D101" s="332"/>
      <c r="E101" s="333">
        <v>0</v>
      </c>
      <c r="F101" s="334"/>
      <c r="G101" s="335"/>
      <c r="H101" s="336"/>
      <c r="I101" s="335">
        <v>0</v>
      </c>
      <c r="J101" s="336"/>
      <c r="K101" s="335"/>
      <c r="L101" s="336"/>
      <c r="M101" s="335">
        <v>0</v>
      </c>
      <c r="N101" s="336"/>
      <c r="O101" s="335"/>
      <c r="P101" s="336"/>
      <c r="Q101" s="335"/>
      <c r="R101" s="336"/>
      <c r="S101" s="335"/>
      <c r="T101" s="341"/>
    </row>
    <row r="102" spans="1:20" ht="22" customHeight="1" thickBot="1" x14ac:dyDescent="0.25">
      <c r="A102" s="342" t="s">
        <v>12</v>
      </c>
      <c r="B102" s="343"/>
      <c r="C102" s="343"/>
      <c r="D102" s="344"/>
      <c r="E102" s="345">
        <f>SUM(E96:E101)</f>
        <v>0</v>
      </c>
      <c r="F102" s="346"/>
      <c r="G102" s="328">
        <f>+SUM(G96:H101)</f>
        <v>0</v>
      </c>
      <c r="H102" s="329"/>
      <c r="I102" s="328">
        <v>0</v>
      </c>
      <c r="J102" s="329"/>
      <c r="K102" s="328">
        <f>+SUM(K96:L101)</f>
        <v>0</v>
      </c>
      <c r="L102" s="329"/>
      <c r="M102" s="328">
        <v>0</v>
      </c>
      <c r="N102" s="329"/>
      <c r="O102" s="328">
        <f>+SUM(O97:P101)</f>
        <v>0</v>
      </c>
      <c r="P102" s="329"/>
      <c r="Q102" s="328">
        <f>+SUM(Q96:R101)</f>
        <v>0</v>
      </c>
      <c r="R102" s="329"/>
      <c r="S102" s="328">
        <f>+SUM(S96:T101)</f>
        <v>0</v>
      </c>
      <c r="T102" s="329"/>
    </row>
    <row r="103" spans="1:20" ht="10" customHeight="1" thickBot="1" x14ac:dyDescent="0.25"/>
    <row r="104" spans="1:20" ht="20" thickBot="1" x14ac:dyDescent="0.25">
      <c r="A104" s="22" t="s">
        <v>11</v>
      </c>
      <c r="B104" s="19"/>
      <c r="C104" s="21"/>
      <c r="D104" s="21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19"/>
      <c r="Q104" s="19"/>
      <c r="R104" s="19"/>
      <c r="S104" s="19"/>
      <c r="T104" s="18"/>
    </row>
    <row r="105" spans="1:20" x14ac:dyDescent="0.2">
      <c r="A105" s="347"/>
      <c r="B105" s="348"/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  <c r="M105" s="348"/>
      <c r="N105" s="348"/>
      <c r="O105" s="348"/>
      <c r="P105" s="348"/>
      <c r="Q105" s="348"/>
      <c r="R105" s="348"/>
      <c r="S105" s="348"/>
      <c r="T105" s="349"/>
    </row>
    <row r="106" spans="1:20" ht="16" thickBot="1" x14ac:dyDescent="0.25">
      <c r="A106" s="350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2"/>
    </row>
    <row r="107" spans="1:20" x14ac:dyDescent="0.2">
      <c r="A107" s="17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x14ac:dyDescent="0.2">
      <c r="A108" s="17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ht="16" thickBot="1" x14ac:dyDescent="0.25">
      <c r="A109" s="17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ht="19" x14ac:dyDescent="0.25">
      <c r="A110" s="13" t="s">
        <v>10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1"/>
    </row>
    <row r="111" spans="1:20" ht="19" x14ac:dyDescent="0.25">
      <c r="A111" s="15" t="s">
        <v>9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</row>
    <row r="112" spans="1:20" ht="19" x14ac:dyDescent="0.25">
      <c r="A112" s="15" t="s">
        <v>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</row>
    <row r="113" spans="1:15" ht="19" x14ac:dyDescent="0.25">
      <c r="A113" s="15" t="s">
        <v>7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</row>
    <row r="114" spans="1:15" ht="20" thickBot="1" x14ac:dyDescent="0.3">
      <c r="A114" s="14" t="s">
        <v>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2"/>
    </row>
    <row r="115" spans="1:15" ht="20" thickBot="1" x14ac:dyDescent="0.3">
      <c r="A115" s="13" t="s">
        <v>5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1"/>
    </row>
    <row r="116" spans="1:15" ht="20" thickBot="1" x14ac:dyDescent="0.25">
      <c r="A116" s="9"/>
      <c r="B116" s="215">
        <v>0</v>
      </c>
      <c r="C116" s="216"/>
      <c r="D116" s="8" t="s">
        <v>4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</row>
    <row r="117" spans="1:15" ht="20" thickBot="1" x14ac:dyDescent="0.25">
      <c r="A117" s="9"/>
      <c r="B117" s="217">
        <v>0</v>
      </c>
      <c r="C117" s="218"/>
      <c r="D117" s="8" t="s">
        <v>3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</row>
    <row r="118" spans="1:15" ht="20" thickBot="1" x14ac:dyDescent="0.25">
      <c r="A118" s="9"/>
      <c r="B118" s="194">
        <v>0</v>
      </c>
      <c r="C118" s="195"/>
      <c r="D118" s="8" t="s">
        <v>2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</row>
    <row r="119" spans="1:15" ht="20" thickBot="1" x14ac:dyDescent="0.25">
      <c r="A119" s="9"/>
      <c r="B119" s="337">
        <v>0</v>
      </c>
      <c r="C119" s="338"/>
      <c r="D119" s="8" t="s">
        <v>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</row>
    <row r="120" spans="1:15" ht="20" thickBot="1" x14ac:dyDescent="0.25">
      <c r="A120" s="5"/>
      <c r="B120" s="339">
        <v>0</v>
      </c>
      <c r="C120" s="340"/>
      <c r="D120" s="4" t="s">
        <v>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2"/>
    </row>
  </sheetData>
  <mergeCells count="443">
    <mergeCell ref="B116:C116"/>
    <mergeCell ref="B117:C117"/>
    <mergeCell ref="B118:C118"/>
    <mergeCell ref="B119:C119"/>
    <mergeCell ref="B120:C120"/>
    <mergeCell ref="S101:T101"/>
    <mergeCell ref="A102:D102"/>
    <mergeCell ref="E102:F102"/>
    <mergeCell ref="G102:H102"/>
    <mergeCell ref="I102:J102"/>
    <mergeCell ref="M101:N101"/>
    <mergeCell ref="O101:P101"/>
    <mergeCell ref="Q101:R101"/>
    <mergeCell ref="A105:T106"/>
    <mergeCell ref="Q102:R102"/>
    <mergeCell ref="S102:T102"/>
    <mergeCell ref="K102:L102"/>
    <mergeCell ref="M102:N102"/>
    <mergeCell ref="O102:P102"/>
    <mergeCell ref="A101:D101"/>
    <mergeCell ref="E101:F101"/>
    <mergeCell ref="G101:H101"/>
    <mergeCell ref="I101:J101"/>
    <mergeCell ref="K101:L101"/>
    <mergeCell ref="O100:P100"/>
    <mergeCell ref="Q100:R100"/>
    <mergeCell ref="S100:T100"/>
    <mergeCell ref="S98:T98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A100:D100"/>
    <mergeCell ref="E100:F100"/>
    <mergeCell ref="G100:H100"/>
    <mergeCell ref="I100:J100"/>
    <mergeCell ref="K100:L100"/>
    <mergeCell ref="M100:N100"/>
    <mergeCell ref="A98:B99"/>
    <mergeCell ref="C98:D98"/>
    <mergeCell ref="E98:F98"/>
    <mergeCell ref="G98:H98"/>
    <mergeCell ref="I98:J98"/>
    <mergeCell ref="K98:L98"/>
    <mergeCell ref="M98:N98"/>
    <mergeCell ref="O98:P98"/>
    <mergeCell ref="Q98:R98"/>
    <mergeCell ref="S96:T96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A96:B97"/>
    <mergeCell ref="C96:D96"/>
    <mergeCell ref="E96:F96"/>
    <mergeCell ref="G96:H96"/>
    <mergeCell ref="I96:J96"/>
    <mergeCell ref="K96:L96"/>
    <mergeCell ref="M96:N96"/>
    <mergeCell ref="O96:P96"/>
    <mergeCell ref="Q96:R96"/>
    <mergeCell ref="B90:C90"/>
    <mergeCell ref="D90:E90"/>
    <mergeCell ref="F90:G90"/>
    <mergeCell ref="H90:I90"/>
    <mergeCell ref="J90:K90"/>
    <mergeCell ref="L90:M90"/>
    <mergeCell ref="N90:O90"/>
    <mergeCell ref="B89:C89"/>
    <mergeCell ref="D89:E89"/>
    <mergeCell ref="F89:G89"/>
    <mergeCell ref="H89:I89"/>
    <mergeCell ref="J89:K89"/>
    <mergeCell ref="L89:M89"/>
    <mergeCell ref="N89:O89"/>
    <mergeCell ref="P89:Q89"/>
    <mergeCell ref="R89:S89"/>
    <mergeCell ref="N87:O87"/>
    <mergeCell ref="P87:Q87"/>
    <mergeCell ref="R87:S87"/>
    <mergeCell ref="T89:U89"/>
    <mergeCell ref="O95:P95"/>
    <mergeCell ref="Q95:R95"/>
    <mergeCell ref="S95:T95"/>
    <mergeCell ref="P90:Q90"/>
    <mergeCell ref="R90:S90"/>
    <mergeCell ref="T90:U90"/>
    <mergeCell ref="A91:U91"/>
    <mergeCell ref="A95:B95"/>
    <mergeCell ref="C95:D95"/>
    <mergeCell ref="E95:F95"/>
    <mergeCell ref="G95:H95"/>
    <mergeCell ref="I95:J95"/>
    <mergeCell ref="K95:L95"/>
    <mergeCell ref="M95:N95"/>
    <mergeCell ref="T87:U87"/>
    <mergeCell ref="B88:C88"/>
    <mergeCell ref="D88:E88"/>
    <mergeCell ref="F88:G88"/>
    <mergeCell ref="H88:I88"/>
    <mergeCell ref="J88:K88"/>
    <mergeCell ref="L88:M88"/>
    <mergeCell ref="T88:U88"/>
    <mergeCell ref="C82:D83"/>
    <mergeCell ref="E82:F83"/>
    <mergeCell ref="G82:H83"/>
    <mergeCell ref="B87:C87"/>
    <mergeCell ref="D87:E87"/>
    <mergeCell ref="F87:G87"/>
    <mergeCell ref="H87:I87"/>
    <mergeCell ref="J87:K87"/>
    <mergeCell ref="L87:M87"/>
    <mergeCell ref="N88:O88"/>
    <mergeCell ref="P88:Q88"/>
    <mergeCell ref="R88:S88"/>
    <mergeCell ref="E79:F79"/>
    <mergeCell ref="G79:H79"/>
    <mergeCell ref="K79:M80"/>
    <mergeCell ref="N79:O80"/>
    <mergeCell ref="P79:Q80"/>
    <mergeCell ref="E80:F80"/>
    <mergeCell ref="G80:H80"/>
    <mergeCell ref="E81:F81"/>
    <mergeCell ref="G81:H81"/>
    <mergeCell ref="E76:F76"/>
    <mergeCell ref="G76:H76"/>
    <mergeCell ref="L76:M77"/>
    <mergeCell ref="N76:O77"/>
    <mergeCell ref="P76:Q77"/>
    <mergeCell ref="E77:F77"/>
    <mergeCell ref="G77:H77"/>
    <mergeCell ref="E78:F78"/>
    <mergeCell ref="G78:H78"/>
    <mergeCell ref="L75:M75"/>
    <mergeCell ref="E73:F73"/>
    <mergeCell ref="G73:H73"/>
    <mergeCell ref="N73:O73"/>
    <mergeCell ref="P73:Q73"/>
    <mergeCell ref="E74:F74"/>
    <mergeCell ref="G74:H74"/>
    <mergeCell ref="N74:O74"/>
    <mergeCell ref="P74:Q74"/>
    <mergeCell ref="L73:M73"/>
    <mergeCell ref="E75:F75"/>
    <mergeCell ref="G75:H75"/>
    <mergeCell ref="N75:O75"/>
    <mergeCell ref="P75:Q75"/>
    <mergeCell ref="L74:M74"/>
    <mergeCell ref="E69:F69"/>
    <mergeCell ref="G69:H69"/>
    <mergeCell ref="N69:O69"/>
    <mergeCell ref="P69:Q69"/>
    <mergeCell ref="E70:F70"/>
    <mergeCell ref="G70:H70"/>
    <mergeCell ref="N70:O70"/>
    <mergeCell ref="P70:Q70"/>
    <mergeCell ref="L69:M69"/>
    <mergeCell ref="L70:M70"/>
    <mergeCell ref="E71:F71"/>
    <mergeCell ref="G71:H71"/>
    <mergeCell ref="N71:O71"/>
    <mergeCell ref="P71:Q71"/>
    <mergeCell ref="E72:F72"/>
    <mergeCell ref="G72:H72"/>
    <mergeCell ref="N72:O72"/>
    <mergeCell ref="P72:Q72"/>
    <mergeCell ref="L71:M71"/>
    <mergeCell ref="L72:M72"/>
    <mergeCell ref="E65:F65"/>
    <mergeCell ref="G65:H65"/>
    <mergeCell ref="N65:O65"/>
    <mergeCell ref="P65:Q65"/>
    <mergeCell ref="E66:F66"/>
    <mergeCell ref="G66:H66"/>
    <mergeCell ref="N66:O66"/>
    <mergeCell ref="P66:Q66"/>
    <mergeCell ref="L66:M66"/>
    <mergeCell ref="E67:F67"/>
    <mergeCell ref="G67:H67"/>
    <mergeCell ref="N67:O67"/>
    <mergeCell ref="P67:Q67"/>
    <mergeCell ref="E68:F68"/>
    <mergeCell ref="G68:H68"/>
    <mergeCell ref="N68:O68"/>
    <mergeCell ref="P68:Q68"/>
    <mergeCell ref="L67:M67"/>
    <mergeCell ref="L68:M68"/>
    <mergeCell ref="E63:F63"/>
    <mergeCell ref="G63:H63"/>
    <mergeCell ref="N63:O63"/>
    <mergeCell ref="P63:Q63"/>
    <mergeCell ref="E64:F64"/>
    <mergeCell ref="G64:H64"/>
    <mergeCell ref="N64:O64"/>
    <mergeCell ref="P64:Q64"/>
    <mergeCell ref="L64:M64"/>
    <mergeCell ref="E60:F60"/>
    <mergeCell ref="G60:H60"/>
    <mergeCell ref="N60:O60"/>
    <mergeCell ref="P60:Q60"/>
    <mergeCell ref="E61:F61"/>
    <mergeCell ref="G61:H61"/>
    <mergeCell ref="N61:O61"/>
    <mergeCell ref="P61:Q61"/>
    <mergeCell ref="E62:F62"/>
    <mergeCell ref="G62:H62"/>
    <mergeCell ref="N62:O62"/>
    <mergeCell ref="P62:Q62"/>
    <mergeCell ref="E55:F55"/>
    <mergeCell ref="G55:H55"/>
    <mergeCell ref="N55:O55"/>
    <mergeCell ref="P55:Q55"/>
    <mergeCell ref="E56:F56"/>
    <mergeCell ref="G56:H56"/>
    <mergeCell ref="E59:F59"/>
    <mergeCell ref="G59:H59"/>
    <mergeCell ref="N59:O59"/>
    <mergeCell ref="P59:Q59"/>
    <mergeCell ref="R34:S34"/>
    <mergeCell ref="A38:S38"/>
    <mergeCell ref="B48:B83"/>
    <mergeCell ref="C48:D48"/>
    <mergeCell ref="E48:F48"/>
    <mergeCell ref="G48:H48"/>
    <mergeCell ref="K48:K77"/>
    <mergeCell ref="L48:M48"/>
    <mergeCell ref="N48:O48"/>
    <mergeCell ref="P48:Q48"/>
    <mergeCell ref="E57:F57"/>
    <mergeCell ref="G57:H57"/>
    <mergeCell ref="N57:O57"/>
    <mergeCell ref="P57:Q57"/>
    <mergeCell ref="N51:O52"/>
    <mergeCell ref="L53:M53"/>
    <mergeCell ref="L54:M54"/>
    <mergeCell ref="L55:M55"/>
    <mergeCell ref="L56:M56"/>
    <mergeCell ref="L57:M57"/>
    <mergeCell ref="N56:O56"/>
    <mergeCell ref="P56:Q56"/>
    <mergeCell ref="N54:O54"/>
    <mergeCell ref="P54:Q54"/>
    <mergeCell ref="L34:M34"/>
    <mergeCell ref="L65:M65"/>
    <mergeCell ref="E53:F53"/>
    <mergeCell ref="G53:H53"/>
    <mergeCell ref="N53:O53"/>
    <mergeCell ref="P53:Q53"/>
    <mergeCell ref="E54:F54"/>
    <mergeCell ref="G54:H54"/>
    <mergeCell ref="L58:M58"/>
    <mergeCell ref="L59:M59"/>
    <mergeCell ref="L60:M60"/>
    <mergeCell ref="L61:M61"/>
    <mergeCell ref="L62:M62"/>
    <mergeCell ref="L63:M63"/>
    <mergeCell ref="E51:F51"/>
    <mergeCell ref="G51:H51"/>
    <mergeCell ref="L51:M52"/>
    <mergeCell ref="P51:Q52"/>
    <mergeCell ref="E52:F52"/>
    <mergeCell ref="G52:H52"/>
    <mergeCell ref="E58:F58"/>
    <mergeCell ref="G58:H58"/>
    <mergeCell ref="N58:O58"/>
    <mergeCell ref="P58:Q58"/>
    <mergeCell ref="C49:D49"/>
    <mergeCell ref="C50:D50"/>
    <mergeCell ref="N32:O32"/>
    <mergeCell ref="P32:Q32"/>
    <mergeCell ref="R32:S32"/>
    <mergeCell ref="A33:C33"/>
    <mergeCell ref="D33:E33"/>
    <mergeCell ref="F33:G33"/>
    <mergeCell ref="H33:I33"/>
    <mergeCell ref="J33:K33"/>
    <mergeCell ref="N34:O34"/>
    <mergeCell ref="P34:Q34"/>
    <mergeCell ref="E49:F49"/>
    <mergeCell ref="G49:H49"/>
    <mergeCell ref="L49:M50"/>
    <mergeCell ref="P49:Q50"/>
    <mergeCell ref="E50:F50"/>
    <mergeCell ref="G50:H50"/>
    <mergeCell ref="N49:O50"/>
    <mergeCell ref="A34:C34"/>
    <mergeCell ref="D34:E34"/>
    <mergeCell ref="F34:G34"/>
    <mergeCell ref="H34:I34"/>
    <mergeCell ref="J34:K34"/>
    <mergeCell ref="P33:Q33"/>
    <mergeCell ref="R33:S33"/>
    <mergeCell ref="A31:C31"/>
    <mergeCell ref="D31:E31"/>
    <mergeCell ref="F31:G31"/>
    <mergeCell ref="H31:I31"/>
    <mergeCell ref="J31:K31"/>
    <mergeCell ref="L31:M31"/>
    <mergeCell ref="N31:O31"/>
    <mergeCell ref="P31:Q31"/>
    <mergeCell ref="L33:M33"/>
    <mergeCell ref="N33:O33"/>
    <mergeCell ref="A32:C32"/>
    <mergeCell ref="D32:E32"/>
    <mergeCell ref="F32:G32"/>
    <mergeCell ref="H32:I32"/>
    <mergeCell ref="J32:K32"/>
    <mergeCell ref="L32:M32"/>
    <mergeCell ref="R31:S31"/>
    <mergeCell ref="P29:Q29"/>
    <mergeCell ref="R29:S29"/>
    <mergeCell ref="A30:C30"/>
    <mergeCell ref="D30:E30"/>
    <mergeCell ref="F30:G30"/>
    <mergeCell ref="H30:I30"/>
    <mergeCell ref="J30:K30"/>
    <mergeCell ref="L30:M30"/>
    <mergeCell ref="N30:O30"/>
    <mergeCell ref="P30:Q30"/>
    <mergeCell ref="R30:S30"/>
    <mergeCell ref="A29:C29"/>
    <mergeCell ref="D29:E29"/>
    <mergeCell ref="F29:G29"/>
    <mergeCell ref="H29:I29"/>
    <mergeCell ref="J29:K29"/>
    <mergeCell ref="L29:M29"/>
    <mergeCell ref="N29:O29"/>
    <mergeCell ref="R28:S28"/>
    <mergeCell ref="A14:B14"/>
    <mergeCell ref="C14:M14"/>
    <mergeCell ref="N14:P14"/>
    <mergeCell ref="Q14:U14"/>
    <mergeCell ref="A15:B15"/>
    <mergeCell ref="C15:M15"/>
    <mergeCell ref="N15:P15"/>
    <mergeCell ref="R27:S27"/>
    <mergeCell ref="J25:K26"/>
    <mergeCell ref="L25:M26"/>
    <mergeCell ref="N25:O26"/>
    <mergeCell ref="D26:E26"/>
    <mergeCell ref="F26:G26"/>
    <mergeCell ref="P26:Q26"/>
    <mergeCell ref="R26:S26"/>
    <mergeCell ref="D27:E27"/>
    <mergeCell ref="F27:G27"/>
    <mergeCell ref="A28:C28"/>
    <mergeCell ref="D28:E28"/>
    <mergeCell ref="F28:G28"/>
    <mergeCell ref="H28:I28"/>
    <mergeCell ref="J28:K28"/>
    <mergeCell ref="L28:M28"/>
    <mergeCell ref="Q15:U15"/>
    <mergeCell ref="A19:B19"/>
    <mergeCell ref="C19:I19"/>
    <mergeCell ref="M19:U19"/>
    <mergeCell ref="A18:U18"/>
    <mergeCell ref="A16:U16"/>
    <mergeCell ref="J17:K17"/>
    <mergeCell ref="L17:M17"/>
    <mergeCell ref="N17:O17"/>
    <mergeCell ref="P17:U17"/>
    <mergeCell ref="A11:B11"/>
    <mergeCell ref="C11:Q11"/>
    <mergeCell ref="R11:S11"/>
    <mergeCell ref="T11:U11"/>
    <mergeCell ref="A12:B12"/>
    <mergeCell ref="C12:U12"/>
    <mergeCell ref="A13:B13"/>
    <mergeCell ref="C13:E13"/>
    <mergeCell ref="F13:G13"/>
    <mergeCell ref="H13:I13"/>
    <mergeCell ref="J13:K13"/>
    <mergeCell ref="L13:U13"/>
    <mergeCell ref="A1:U1"/>
    <mergeCell ref="A2:U2"/>
    <mergeCell ref="A4:U4"/>
    <mergeCell ref="A6:U6"/>
    <mergeCell ref="A8:U8"/>
    <mergeCell ref="A10:B10"/>
    <mergeCell ref="C10:G10"/>
    <mergeCell ref="H10:I10"/>
    <mergeCell ref="J10:M10"/>
    <mergeCell ref="N10:O10"/>
    <mergeCell ref="P10:Q10"/>
    <mergeCell ref="R10:S10"/>
    <mergeCell ref="T10:U10"/>
    <mergeCell ref="H27:I27"/>
    <mergeCell ref="J27:K27"/>
    <mergeCell ref="L27:M27"/>
    <mergeCell ref="N27:O27"/>
    <mergeCell ref="P27:Q27"/>
    <mergeCell ref="C58:D58"/>
    <mergeCell ref="C51:D51"/>
    <mergeCell ref="A17:B17"/>
    <mergeCell ref="C17:I17"/>
    <mergeCell ref="A21:S21"/>
    <mergeCell ref="A23:C27"/>
    <mergeCell ref="D23:I24"/>
    <mergeCell ref="J23:O24"/>
    <mergeCell ref="P23:S25"/>
    <mergeCell ref="D25:G25"/>
    <mergeCell ref="H25:I26"/>
    <mergeCell ref="C52:D52"/>
    <mergeCell ref="C53:D53"/>
    <mergeCell ref="C54:D54"/>
    <mergeCell ref="C55:D55"/>
    <mergeCell ref="C56:D56"/>
    <mergeCell ref="C57:D57"/>
    <mergeCell ref="N28:O28"/>
    <mergeCell ref="P28:Q28"/>
    <mergeCell ref="C66:D66"/>
    <mergeCell ref="C67:D67"/>
    <mergeCell ref="C64:D64"/>
    <mergeCell ref="C68:D68"/>
    <mergeCell ref="C69:D69"/>
    <mergeCell ref="C71:D71"/>
    <mergeCell ref="C59:D59"/>
    <mergeCell ref="C60:D60"/>
    <mergeCell ref="C61:D61"/>
    <mergeCell ref="C62:D62"/>
    <mergeCell ref="C63:D63"/>
    <mergeCell ref="C65:D65"/>
    <mergeCell ref="C75:D75"/>
    <mergeCell ref="C74:D74"/>
    <mergeCell ref="C73:D73"/>
    <mergeCell ref="C72:D72"/>
    <mergeCell ref="C70:D70"/>
    <mergeCell ref="C81:D81"/>
    <mergeCell ref="C80:D80"/>
    <mergeCell ref="C79:D79"/>
    <mergeCell ref="C78:D78"/>
    <mergeCell ref="C77:D77"/>
    <mergeCell ref="C76:D76"/>
  </mergeCells>
  <conditionalFormatting sqref="A49:A81">
    <cfRule type="duplicateValues" dxfId="0" priority="1"/>
  </conditionalFormatting>
  <dataValidations count="1">
    <dataValidation type="whole" allowBlank="1" showInputMessage="1" showErrorMessage="1" sqref="J10:M10" xr:uid="{2D48EE9C-5F6A-4565-9FD4-082D98B79913}">
      <formula1>9999999999</formula1>
      <formula2>99999999999</formula2>
    </dataValidation>
  </dataValidations>
  <hyperlinks>
    <hyperlink ref="Q15" r:id="rId1" xr:uid="{990CE0DC-8719-8745-9E5B-DA9B804499BB}"/>
    <hyperlink ref="P17" r:id="rId2" xr:uid="{41A8369B-9D49-3D43-957D-0CCC5CA01D2F}"/>
  </hyperlinks>
  <pageMargins left="0.7" right="0.7" top="0.75" bottom="0.75" header="0.3" footer="0.3"/>
  <pageSetup paperSize="9" scale="35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6" name="Button 1">
              <controlPr defaultSize="0" print="0" autoFill="0" autoPict="0" macro="[0]!abrir_Meses">
                <anchor moveWithCells="1" sizeWithCells="1">
                  <from>
                    <xdr:col>4</xdr:col>
                    <xdr:colOff>673100</xdr:colOff>
                    <xdr:row>0</xdr:row>
                    <xdr:rowOff>38100</xdr:rowOff>
                  </from>
                  <to>
                    <xdr:col>8</xdr:col>
                    <xdr:colOff>660400</xdr:colOff>
                    <xdr:row>0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7" name="Button 2">
              <controlPr defaultSize="0" print="0" autoFill="0" autoPict="0" macro="[0]!ExportaEncuesta">
                <anchor moveWithCells="1" sizeWithCells="1">
                  <from>
                    <xdr:col>10</xdr:col>
                    <xdr:colOff>635000</xdr:colOff>
                    <xdr:row>0</xdr:row>
                    <xdr:rowOff>38100</xdr:rowOff>
                  </from>
                  <to>
                    <xdr:col>14</xdr:col>
                    <xdr:colOff>660400</xdr:colOff>
                    <xdr:row>0</xdr:row>
                    <xdr:rowOff>431800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REPORTE MENSUAL</vt:lpstr>
      <vt:lpstr>'REPORTE MENSUAL'!Print_Area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PIERINA FERNANDA GALLEGOS GUISADO</dc:creator>
  <cp:lastModifiedBy>ALUMNO - PIERINA FERNANDA GALLEGOS GUISADO</cp:lastModifiedBy>
  <dcterms:created xsi:type="dcterms:W3CDTF">2026-05-19T03:11:06Z</dcterms:created>
  <dcterms:modified xsi:type="dcterms:W3CDTF">2026-06-26T20:13:57Z</dcterms:modified>
</cp:coreProperties>
</file>